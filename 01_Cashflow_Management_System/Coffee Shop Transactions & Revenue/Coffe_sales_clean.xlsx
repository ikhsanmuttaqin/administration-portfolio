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Coffee Shop Transactions &amp; Revenue Dataset\"/>
    </mc:Choice>
  </mc:AlternateContent>
  <xr:revisionPtr revIDLastSave="0" documentId="13_ncr:1_{9A9D4AC1-BCBD-4C64-9F90-56B41690B287}" xr6:coauthVersionLast="47" xr6:coauthVersionMax="47" xr10:uidLastSave="{00000000-0000-0000-0000-000000000000}"/>
  <bookViews>
    <workbookView xWindow="-120" yWindow="-120" windowWidth="19440" windowHeight="11160" xr2:uid="{75ED8244-78C0-4F73-A94A-C7758829E02F}"/>
  </bookViews>
  <sheets>
    <sheet name="Clean_Data" sheetId="3" r:id="rId1"/>
    <sheet name="Formulas" sheetId="4" r:id="rId2"/>
  </sheets>
  <definedNames>
    <definedName name="ExternalData_1" localSheetId="0" hidden="1">Clean_Data!$C$1:$G$3229</definedName>
  </definedNames>
  <calcPr calcId="181029"/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4" i="4"/>
  <c r="B1" i="4"/>
  <c r="E3" i="3"/>
  <c r="E4" i="3"/>
  <c r="E5" i="3"/>
  <c r="E6" i="3"/>
  <c r="E7" i="3"/>
  <c r="E8" i="3"/>
  <c r="E9" i="3"/>
  <c r="E10" i="3"/>
  <c r="E11" i="3"/>
  <c r="E12" i="3"/>
  <c r="E13" i="3"/>
  <c r="A13" i="3" s="1"/>
  <c r="E14" i="3"/>
  <c r="A14" i="3" s="1"/>
  <c r="E15" i="3"/>
  <c r="A15" i="3" s="1"/>
  <c r="E16" i="3"/>
  <c r="A16" i="3" s="1"/>
  <c r="E17" i="3"/>
  <c r="A17" i="3" s="1"/>
  <c r="E18" i="3"/>
  <c r="A18" i="3" s="1"/>
  <c r="E19" i="3"/>
  <c r="A19" i="3" s="1"/>
  <c r="E20" i="3"/>
  <c r="A20" i="3" s="1"/>
  <c r="E21" i="3"/>
  <c r="A21" i="3" s="1"/>
  <c r="E22" i="3"/>
  <c r="A22" i="3" s="1"/>
  <c r="E23" i="3"/>
  <c r="A23" i="3" s="1"/>
  <c r="E24" i="3"/>
  <c r="A24" i="3" s="1"/>
  <c r="E25" i="3"/>
  <c r="A25" i="3" s="1"/>
  <c r="E26" i="3"/>
  <c r="A26" i="3" s="1"/>
  <c r="E27" i="3"/>
  <c r="A27" i="3" s="1"/>
  <c r="E28" i="3"/>
  <c r="A28" i="3" s="1"/>
  <c r="E29" i="3"/>
  <c r="A29" i="3" s="1"/>
  <c r="E30" i="3"/>
  <c r="A30" i="3" s="1"/>
  <c r="E31" i="3"/>
  <c r="A31" i="3" s="1"/>
  <c r="E32" i="3"/>
  <c r="A32" i="3" s="1"/>
  <c r="E33" i="3"/>
  <c r="A33" i="3" s="1"/>
  <c r="E34" i="3"/>
  <c r="A34" i="3" s="1"/>
  <c r="E35" i="3"/>
  <c r="A35" i="3" s="1"/>
  <c r="E36" i="3"/>
  <c r="A36" i="3" s="1"/>
  <c r="E37" i="3"/>
  <c r="A37" i="3" s="1"/>
  <c r="E38" i="3"/>
  <c r="A38" i="3" s="1"/>
  <c r="E39" i="3"/>
  <c r="A39" i="3" s="1"/>
  <c r="E40" i="3"/>
  <c r="A40" i="3" s="1"/>
  <c r="E41" i="3"/>
  <c r="A41" i="3" s="1"/>
  <c r="E42" i="3"/>
  <c r="A42" i="3" s="1"/>
  <c r="E43" i="3"/>
  <c r="A43" i="3" s="1"/>
  <c r="E44" i="3"/>
  <c r="A44" i="3" s="1"/>
  <c r="E45" i="3"/>
  <c r="A45" i="3" s="1"/>
  <c r="E46" i="3"/>
  <c r="A46" i="3" s="1"/>
  <c r="E47" i="3"/>
  <c r="A47" i="3" s="1"/>
  <c r="E48" i="3"/>
  <c r="A48" i="3" s="1"/>
  <c r="E49" i="3"/>
  <c r="A49" i="3" s="1"/>
  <c r="E50" i="3"/>
  <c r="A50" i="3" s="1"/>
  <c r="E51" i="3"/>
  <c r="A51" i="3" s="1"/>
  <c r="E52" i="3"/>
  <c r="A52" i="3" s="1"/>
  <c r="E53" i="3"/>
  <c r="A53" i="3" s="1"/>
  <c r="E54" i="3"/>
  <c r="A54" i="3" s="1"/>
  <c r="E55" i="3"/>
  <c r="A55" i="3" s="1"/>
  <c r="E56" i="3"/>
  <c r="A56" i="3" s="1"/>
  <c r="E57" i="3"/>
  <c r="A57" i="3" s="1"/>
  <c r="E58" i="3"/>
  <c r="A58" i="3" s="1"/>
  <c r="E59" i="3"/>
  <c r="A59" i="3" s="1"/>
  <c r="E60" i="3"/>
  <c r="A60" i="3" s="1"/>
  <c r="E61" i="3"/>
  <c r="A61" i="3" s="1"/>
  <c r="E62" i="3"/>
  <c r="A62" i="3" s="1"/>
  <c r="E63" i="3"/>
  <c r="A63" i="3" s="1"/>
  <c r="E64" i="3"/>
  <c r="A64" i="3" s="1"/>
  <c r="E65" i="3"/>
  <c r="A65" i="3" s="1"/>
  <c r="E66" i="3"/>
  <c r="A66" i="3" s="1"/>
  <c r="E67" i="3"/>
  <c r="A67" i="3" s="1"/>
  <c r="E68" i="3"/>
  <c r="A68" i="3" s="1"/>
  <c r="E69" i="3"/>
  <c r="A69" i="3" s="1"/>
  <c r="E70" i="3"/>
  <c r="A70" i="3" s="1"/>
  <c r="E71" i="3"/>
  <c r="A71" i="3" s="1"/>
  <c r="E72" i="3"/>
  <c r="A72" i="3" s="1"/>
  <c r="E73" i="3"/>
  <c r="A73" i="3" s="1"/>
  <c r="E74" i="3"/>
  <c r="A74" i="3" s="1"/>
  <c r="E75" i="3"/>
  <c r="A75" i="3" s="1"/>
  <c r="E76" i="3"/>
  <c r="A76" i="3" s="1"/>
  <c r="E77" i="3"/>
  <c r="A77" i="3" s="1"/>
  <c r="E78" i="3"/>
  <c r="A78" i="3" s="1"/>
  <c r="E79" i="3"/>
  <c r="A79" i="3" s="1"/>
  <c r="E80" i="3"/>
  <c r="A80" i="3" s="1"/>
  <c r="E81" i="3"/>
  <c r="A81" i="3" s="1"/>
  <c r="E82" i="3"/>
  <c r="A82" i="3" s="1"/>
  <c r="E83" i="3"/>
  <c r="A83" i="3" s="1"/>
  <c r="E84" i="3"/>
  <c r="A84" i="3" s="1"/>
  <c r="E85" i="3"/>
  <c r="A85" i="3" s="1"/>
  <c r="E86" i="3"/>
  <c r="A86" i="3" s="1"/>
  <c r="E87" i="3"/>
  <c r="A87" i="3" s="1"/>
  <c r="E88" i="3"/>
  <c r="A88" i="3" s="1"/>
  <c r="E89" i="3"/>
  <c r="A89" i="3" s="1"/>
  <c r="E90" i="3"/>
  <c r="A90" i="3" s="1"/>
  <c r="E91" i="3"/>
  <c r="A91" i="3" s="1"/>
  <c r="E92" i="3"/>
  <c r="A92" i="3" s="1"/>
  <c r="E93" i="3"/>
  <c r="A93" i="3" s="1"/>
  <c r="E94" i="3"/>
  <c r="A94" i="3" s="1"/>
  <c r="E95" i="3"/>
  <c r="A95" i="3" s="1"/>
  <c r="E96" i="3"/>
  <c r="A96" i="3" s="1"/>
  <c r="E97" i="3"/>
  <c r="A97" i="3" s="1"/>
  <c r="E98" i="3"/>
  <c r="A98" i="3" s="1"/>
  <c r="E99" i="3"/>
  <c r="A99" i="3" s="1"/>
  <c r="E100" i="3"/>
  <c r="A100" i="3" s="1"/>
  <c r="E101" i="3"/>
  <c r="A101" i="3" s="1"/>
  <c r="E102" i="3"/>
  <c r="A102" i="3" s="1"/>
  <c r="E103" i="3"/>
  <c r="A103" i="3" s="1"/>
  <c r="E104" i="3"/>
  <c r="A104" i="3" s="1"/>
  <c r="E105" i="3"/>
  <c r="A105" i="3" s="1"/>
  <c r="E106" i="3"/>
  <c r="A106" i="3" s="1"/>
  <c r="E107" i="3"/>
  <c r="A107" i="3" s="1"/>
  <c r="E108" i="3"/>
  <c r="A108" i="3" s="1"/>
  <c r="E109" i="3"/>
  <c r="A109" i="3" s="1"/>
  <c r="E110" i="3"/>
  <c r="A110" i="3" s="1"/>
  <c r="E111" i="3"/>
  <c r="A111" i="3" s="1"/>
  <c r="E112" i="3"/>
  <c r="A112" i="3" s="1"/>
  <c r="E113" i="3"/>
  <c r="A113" i="3" s="1"/>
  <c r="E114" i="3"/>
  <c r="A114" i="3" s="1"/>
  <c r="E115" i="3"/>
  <c r="A115" i="3" s="1"/>
  <c r="E116" i="3"/>
  <c r="A116" i="3" s="1"/>
  <c r="E117" i="3"/>
  <c r="A117" i="3" s="1"/>
  <c r="E118" i="3"/>
  <c r="A118" i="3" s="1"/>
  <c r="E119" i="3"/>
  <c r="A119" i="3" s="1"/>
  <c r="E120" i="3"/>
  <c r="A120" i="3" s="1"/>
  <c r="E121" i="3"/>
  <c r="A121" i="3" s="1"/>
  <c r="E122" i="3"/>
  <c r="A122" i="3" s="1"/>
  <c r="E123" i="3"/>
  <c r="A123" i="3" s="1"/>
  <c r="E124" i="3"/>
  <c r="A124" i="3" s="1"/>
  <c r="E125" i="3"/>
  <c r="A125" i="3" s="1"/>
  <c r="E126" i="3"/>
  <c r="A126" i="3" s="1"/>
  <c r="E127" i="3"/>
  <c r="A127" i="3" s="1"/>
  <c r="E128" i="3"/>
  <c r="A128" i="3" s="1"/>
  <c r="E129" i="3"/>
  <c r="A129" i="3" s="1"/>
  <c r="E130" i="3"/>
  <c r="A130" i="3" s="1"/>
  <c r="E131" i="3"/>
  <c r="A131" i="3" s="1"/>
  <c r="E132" i="3"/>
  <c r="A132" i="3" s="1"/>
  <c r="E133" i="3"/>
  <c r="A133" i="3" s="1"/>
  <c r="E134" i="3"/>
  <c r="A134" i="3" s="1"/>
  <c r="E135" i="3"/>
  <c r="A135" i="3" s="1"/>
  <c r="E136" i="3"/>
  <c r="A136" i="3" s="1"/>
  <c r="E137" i="3"/>
  <c r="A137" i="3" s="1"/>
  <c r="E138" i="3"/>
  <c r="A138" i="3" s="1"/>
  <c r="E139" i="3"/>
  <c r="A139" i="3" s="1"/>
  <c r="E140" i="3"/>
  <c r="A140" i="3" s="1"/>
  <c r="E141" i="3"/>
  <c r="A141" i="3" s="1"/>
  <c r="E142" i="3"/>
  <c r="A142" i="3" s="1"/>
  <c r="E143" i="3"/>
  <c r="A143" i="3" s="1"/>
  <c r="E144" i="3"/>
  <c r="A144" i="3" s="1"/>
  <c r="E145" i="3"/>
  <c r="A145" i="3" s="1"/>
  <c r="E146" i="3"/>
  <c r="A146" i="3" s="1"/>
  <c r="E147" i="3"/>
  <c r="A147" i="3" s="1"/>
  <c r="E148" i="3"/>
  <c r="A148" i="3" s="1"/>
  <c r="E149" i="3"/>
  <c r="A149" i="3" s="1"/>
  <c r="E150" i="3"/>
  <c r="A150" i="3" s="1"/>
  <c r="E151" i="3"/>
  <c r="A151" i="3" s="1"/>
  <c r="E152" i="3"/>
  <c r="A152" i="3" s="1"/>
  <c r="E153" i="3"/>
  <c r="A153" i="3" s="1"/>
  <c r="E154" i="3"/>
  <c r="A154" i="3" s="1"/>
  <c r="E155" i="3"/>
  <c r="A155" i="3" s="1"/>
  <c r="E156" i="3"/>
  <c r="A156" i="3" s="1"/>
  <c r="E157" i="3"/>
  <c r="A157" i="3" s="1"/>
  <c r="E158" i="3"/>
  <c r="A158" i="3" s="1"/>
  <c r="E159" i="3"/>
  <c r="A159" i="3" s="1"/>
  <c r="E160" i="3"/>
  <c r="A160" i="3" s="1"/>
  <c r="E161" i="3"/>
  <c r="A161" i="3" s="1"/>
  <c r="E162" i="3"/>
  <c r="A162" i="3" s="1"/>
  <c r="E163" i="3"/>
  <c r="A163" i="3" s="1"/>
  <c r="E164" i="3"/>
  <c r="A164" i="3" s="1"/>
  <c r="E165" i="3"/>
  <c r="A165" i="3" s="1"/>
  <c r="E166" i="3"/>
  <c r="A166" i="3" s="1"/>
  <c r="E167" i="3"/>
  <c r="A167" i="3" s="1"/>
  <c r="E168" i="3"/>
  <c r="A168" i="3" s="1"/>
  <c r="E169" i="3"/>
  <c r="A169" i="3" s="1"/>
  <c r="E170" i="3"/>
  <c r="A170" i="3" s="1"/>
  <c r="E171" i="3"/>
  <c r="A171" i="3" s="1"/>
  <c r="E172" i="3"/>
  <c r="A172" i="3" s="1"/>
  <c r="E173" i="3"/>
  <c r="A173" i="3" s="1"/>
  <c r="E174" i="3"/>
  <c r="A174" i="3" s="1"/>
  <c r="E175" i="3"/>
  <c r="A175" i="3" s="1"/>
  <c r="E176" i="3"/>
  <c r="A176" i="3" s="1"/>
  <c r="E177" i="3"/>
  <c r="A177" i="3" s="1"/>
  <c r="E178" i="3"/>
  <c r="A178" i="3" s="1"/>
  <c r="E179" i="3"/>
  <c r="A179" i="3" s="1"/>
  <c r="E180" i="3"/>
  <c r="A180" i="3" s="1"/>
  <c r="E181" i="3"/>
  <c r="A181" i="3" s="1"/>
  <c r="E182" i="3"/>
  <c r="A182" i="3" s="1"/>
  <c r="E183" i="3"/>
  <c r="A183" i="3" s="1"/>
  <c r="E184" i="3"/>
  <c r="A184" i="3" s="1"/>
  <c r="E185" i="3"/>
  <c r="A185" i="3" s="1"/>
  <c r="E186" i="3"/>
  <c r="A186" i="3" s="1"/>
  <c r="E187" i="3"/>
  <c r="A187" i="3" s="1"/>
  <c r="E188" i="3"/>
  <c r="A188" i="3" s="1"/>
  <c r="E189" i="3"/>
  <c r="A189" i="3" s="1"/>
  <c r="E190" i="3"/>
  <c r="A190" i="3" s="1"/>
  <c r="E191" i="3"/>
  <c r="A191" i="3" s="1"/>
  <c r="E192" i="3"/>
  <c r="A192" i="3" s="1"/>
  <c r="E193" i="3"/>
  <c r="A193" i="3" s="1"/>
  <c r="E194" i="3"/>
  <c r="A194" i="3" s="1"/>
  <c r="E195" i="3"/>
  <c r="A195" i="3" s="1"/>
  <c r="E196" i="3"/>
  <c r="A196" i="3" s="1"/>
  <c r="E197" i="3"/>
  <c r="A197" i="3" s="1"/>
  <c r="E198" i="3"/>
  <c r="A198" i="3" s="1"/>
  <c r="E199" i="3"/>
  <c r="A199" i="3" s="1"/>
  <c r="E200" i="3"/>
  <c r="A200" i="3" s="1"/>
  <c r="E201" i="3"/>
  <c r="A201" i="3" s="1"/>
  <c r="E202" i="3"/>
  <c r="A202" i="3" s="1"/>
  <c r="E203" i="3"/>
  <c r="A203" i="3" s="1"/>
  <c r="E204" i="3"/>
  <c r="A204" i="3" s="1"/>
  <c r="E205" i="3"/>
  <c r="A205" i="3" s="1"/>
  <c r="E206" i="3"/>
  <c r="A206" i="3" s="1"/>
  <c r="E207" i="3"/>
  <c r="A207" i="3" s="1"/>
  <c r="E208" i="3"/>
  <c r="A208" i="3" s="1"/>
  <c r="E209" i="3"/>
  <c r="A209" i="3" s="1"/>
  <c r="E210" i="3"/>
  <c r="A210" i="3" s="1"/>
  <c r="E211" i="3"/>
  <c r="A211" i="3" s="1"/>
  <c r="E212" i="3"/>
  <c r="A212" i="3" s="1"/>
  <c r="E213" i="3"/>
  <c r="A213" i="3" s="1"/>
  <c r="E214" i="3"/>
  <c r="A214" i="3" s="1"/>
  <c r="E215" i="3"/>
  <c r="A215" i="3" s="1"/>
  <c r="E216" i="3"/>
  <c r="A216" i="3" s="1"/>
  <c r="E217" i="3"/>
  <c r="A217" i="3" s="1"/>
  <c r="E218" i="3"/>
  <c r="A218" i="3" s="1"/>
  <c r="E219" i="3"/>
  <c r="A219" i="3" s="1"/>
  <c r="E220" i="3"/>
  <c r="A220" i="3" s="1"/>
  <c r="E221" i="3"/>
  <c r="A221" i="3" s="1"/>
  <c r="E222" i="3"/>
  <c r="A222" i="3" s="1"/>
  <c r="E223" i="3"/>
  <c r="A223" i="3" s="1"/>
  <c r="E224" i="3"/>
  <c r="A224" i="3" s="1"/>
  <c r="E225" i="3"/>
  <c r="A225" i="3" s="1"/>
  <c r="E226" i="3"/>
  <c r="A226" i="3" s="1"/>
  <c r="E227" i="3"/>
  <c r="A227" i="3" s="1"/>
  <c r="E228" i="3"/>
  <c r="A228" i="3" s="1"/>
  <c r="E229" i="3"/>
  <c r="A229" i="3" s="1"/>
  <c r="E230" i="3"/>
  <c r="A230" i="3" s="1"/>
  <c r="E231" i="3"/>
  <c r="A231" i="3" s="1"/>
  <c r="E232" i="3"/>
  <c r="A232" i="3" s="1"/>
  <c r="E233" i="3"/>
  <c r="A233" i="3" s="1"/>
  <c r="E234" i="3"/>
  <c r="A234" i="3" s="1"/>
  <c r="E235" i="3"/>
  <c r="A235" i="3" s="1"/>
  <c r="E236" i="3"/>
  <c r="A236" i="3" s="1"/>
  <c r="E237" i="3"/>
  <c r="A237" i="3" s="1"/>
  <c r="E238" i="3"/>
  <c r="A238" i="3" s="1"/>
  <c r="E239" i="3"/>
  <c r="A239" i="3" s="1"/>
  <c r="E240" i="3"/>
  <c r="A240" i="3" s="1"/>
  <c r="E241" i="3"/>
  <c r="A241" i="3" s="1"/>
  <c r="E242" i="3"/>
  <c r="A242" i="3" s="1"/>
  <c r="E243" i="3"/>
  <c r="A243" i="3" s="1"/>
  <c r="E244" i="3"/>
  <c r="A244" i="3" s="1"/>
  <c r="E245" i="3"/>
  <c r="A245" i="3" s="1"/>
  <c r="E246" i="3"/>
  <c r="A246" i="3" s="1"/>
  <c r="E247" i="3"/>
  <c r="A247" i="3" s="1"/>
  <c r="E248" i="3"/>
  <c r="A248" i="3" s="1"/>
  <c r="E249" i="3"/>
  <c r="A249" i="3" s="1"/>
  <c r="E250" i="3"/>
  <c r="A250" i="3" s="1"/>
  <c r="E251" i="3"/>
  <c r="A251" i="3" s="1"/>
  <c r="E252" i="3"/>
  <c r="A252" i="3" s="1"/>
  <c r="E253" i="3"/>
  <c r="A253" i="3" s="1"/>
  <c r="E254" i="3"/>
  <c r="A254" i="3" s="1"/>
  <c r="E255" i="3"/>
  <c r="A255" i="3" s="1"/>
  <c r="E256" i="3"/>
  <c r="A256" i="3" s="1"/>
  <c r="E257" i="3"/>
  <c r="A257" i="3" s="1"/>
  <c r="E258" i="3"/>
  <c r="A258" i="3" s="1"/>
  <c r="E259" i="3"/>
  <c r="A259" i="3" s="1"/>
  <c r="E260" i="3"/>
  <c r="A260" i="3" s="1"/>
  <c r="E261" i="3"/>
  <c r="A261" i="3" s="1"/>
  <c r="E262" i="3"/>
  <c r="A262" i="3" s="1"/>
  <c r="E263" i="3"/>
  <c r="A263" i="3" s="1"/>
  <c r="E264" i="3"/>
  <c r="A264" i="3" s="1"/>
  <c r="E265" i="3"/>
  <c r="A265" i="3" s="1"/>
  <c r="E266" i="3"/>
  <c r="A266" i="3" s="1"/>
  <c r="E267" i="3"/>
  <c r="A267" i="3" s="1"/>
  <c r="E268" i="3"/>
  <c r="A268" i="3" s="1"/>
  <c r="E269" i="3"/>
  <c r="A269" i="3" s="1"/>
  <c r="E270" i="3"/>
  <c r="A270" i="3" s="1"/>
  <c r="E271" i="3"/>
  <c r="A271" i="3" s="1"/>
  <c r="E272" i="3"/>
  <c r="A272" i="3" s="1"/>
  <c r="E273" i="3"/>
  <c r="A273" i="3" s="1"/>
  <c r="E274" i="3"/>
  <c r="A274" i="3" s="1"/>
  <c r="E275" i="3"/>
  <c r="A275" i="3" s="1"/>
  <c r="E276" i="3"/>
  <c r="A276" i="3" s="1"/>
  <c r="E277" i="3"/>
  <c r="A277" i="3" s="1"/>
  <c r="E278" i="3"/>
  <c r="A278" i="3" s="1"/>
  <c r="E279" i="3"/>
  <c r="A279" i="3" s="1"/>
  <c r="E280" i="3"/>
  <c r="A280" i="3" s="1"/>
  <c r="E281" i="3"/>
  <c r="A281" i="3" s="1"/>
  <c r="E282" i="3"/>
  <c r="A282" i="3" s="1"/>
  <c r="E283" i="3"/>
  <c r="A283" i="3" s="1"/>
  <c r="E284" i="3"/>
  <c r="A284" i="3" s="1"/>
  <c r="E285" i="3"/>
  <c r="A285" i="3" s="1"/>
  <c r="E286" i="3"/>
  <c r="A286" i="3" s="1"/>
  <c r="E287" i="3"/>
  <c r="A287" i="3" s="1"/>
  <c r="E288" i="3"/>
  <c r="A288" i="3" s="1"/>
  <c r="E289" i="3"/>
  <c r="A289" i="3" s="1"/>
  <c r="E290" i="3"/>
  <c r="A290" i="3" s="1"/>
  <c r="E291" i="3"/>
  <c r="A291" i="3" s="1"/>
  <c r="E292" i="3"/>
  <c r="A292" i="3" s="1"/>
  <c r="E293" i="3"/>
  <c r="A293" i="3" s="1"/>
  <c r="E294" i="3"/>
  <c r="A294" i="3" s="1"/>
  <c r="E295" i="3"/>
  <c r="A295" i="3" s="1"/>
  <c r="E296" i="3"/>
  <c r="A296" i="3" s="1"/>
  <c r="E297" i="3"/>
  <c r="A297" i="3" s="1"/>
  <c r="E298" i="3"/>
  <c r="A298" i="3" s="1"/>
  <c r="E299" i="3"/>
  <c r="A299" i="3" s="1"/>
  <c r="E300" i="3"/>
  <c r="A300" i="3" s="1"/>
  <c r="E301" i="3"/>
  <c r="A301" i="3" s="1"/>
  <c r="E302" i="3"/>
  <c r="A302" i="3" s="1"/>
  <c r="E303" i="3"/>
  <c r="A303" i="3" s="1"/>
  <c r="E304" i="3"/>
  <c r="A304" i="3" s="1"/>
  <c r="E305" i="3"/>
  <c r="A305" i="3" s="1"/>
  <c r="E306" i="3"/>
  <c r="A306" i="3" s="1"/>
  <c r="E307" i="3"/>
  <c r="A307" i="3" s="1"/>
  <c r="E308" i="3"/>
  <c r="A308" i="3" s="1"/>
  <c r="E309" i="3"/>
  <c r="A309" i="3" s="1"/>
  <c r="E310" i="3"/>
  <c r="A310" i="3" s="1"/>
  <c r="E311" i="3"/>
  <c r="A311" i="3" s="1"/>
  <c r="E312" i="3"/>
  <c r="A312" i="3" s="1"/>
  <c r="E313" i="3"/>
  <c r="A313" i="3" s="1"/>
  <c r="E314" i="3"/>
  <c r="A314" i="3" s="1"/>
  <c r="E315" i="3"/>
  <c r="A315" i="3" s="1"/>
  <c r="E316" i="3"/>
  <c r="A316" i="3" s="1"/>
  <c r="E317" i="3"/>
  <c r="A317" i="3" s="1"/>
  <c r="E318" i="3"/>
  <c r="A318" i="3" s="1"/>
  <c r="E319" i="3"/>
  <c r="A319" i="3" s="1"/>
  <c r="E320" i="3"/>
  <c r="A320" i="3" s="1"/>
  <c r="E321" i="3"/>
  <c r="A321" i="3" s="1"/>
  <c r="E322" i="3"/>
  <c r="A322" i="3" s="1"/>
  <c r="E323" i="3"/>
  <c r="A323" i="3" s="1"/>
  <c r="E324" i="3"/>
  <c r="A324" i="3" s="1"/>
  <c r="E325" i="3"/>
  <c r="A325" i="3" s="1"/>
  <c r="E326" i="3"/>
  <c r="A326" i="3" s="1"/>
  <c r="E327" i="3"/>
  <c r="A327" i="3" s="1"/>
  <c r="E328" i="3"/>
  <c r="A328" i="3" s="1"/>
  <c r="E329" i="3"/>
  <c r="A329" i="3" s="1"/>
  <c r="E330" i="3"/>
  <c r="A330" i="3" s="1"/>
  <c r="E331" i="3"/>
  <c r="A331" i="3" s="1"/>
  <c r="E332" i="3"/>
  <c r="A332" i="3" s="1"/>
  <c r="E333" i="3"/>
  <c r="A333" i="3" s="1"/>
  <c r="E334" i="3"/>
  <c r="A334" i="3" s="1"/>
  <c r="E335" i="3"/>
  <c r="A335" i="3" s="1"/>
  <c r="E336" i="3"/>
  <c r="A336" i="3" s="1"/>
  <c r="E337" i="3"/>
  <c r="A337" i="3" s="1"/>
  <c r="E338" i="3"/>
  <c r="A338" i="3" s="1"/>
  <c r="E339" i="3"/>
  <c r="A339" i="3" s="1"/>
  <c r="E340" i="3"/>
  <c r="A340" i="3" s="1"/>
  <c r="E341" i="3"/>
  <c r="A341" i="3" s="1"/>
  <c r="E342" i="3"/>
  <c r="A342" i="3" s="1"/>
  <c r="E343" i="3"/>
  <c r="A343" i="3" s="1"/>
  <c r="E344" i="3"/>
  <c r="A344" i="3" s="1"/>
  <c r="E345" i="3"/>
  <c r="A345" i="3" s="1"/>
  <c r="E346" i="3"/>
  <c r="A346" i="3" s="1"/>
  <c r="E347" i="3"/>
  <c r="A347" i="3" s="1"/>
  <c r="E348" i="3"/>
  <c r="A348" i="3" s="1"/>
  <c r="E349" i="3"/>
  <c r="A349" i="3" s="1"/>
  <c r="E350" i="3"/>
  <c r="A350" i="3" s="1"/>
  <c r="E351" i="3"/>
  <c r="A351" i="3" s="1"/>
  <c r="E352" i="3"/>
  <c r="A352" i="3" s="1"/>
  <c r="E353" i="3"/>
  <c r="A353" i="3" s="1"/>
  <c r="E354" i="3"/>
  <c r="A354" i="3" s="1"/>
  <c r="E355" i="3"/>
  <c r="A355" i="3" s="1"/>
  <c r="E356" i="3"/>
  <c r="A356" i="3" s="1"/>
  <c r="E357" i="3"/>
  <c r="A357" i="3" s="1"/>
  <c r="E358" i="3"/>
  <c r="A358" i="3" s="1"/>
  <c r="E359" i="3"/>
  <c r="A359" i="3" s="1"/>
  <c r="E360" i="3"/>
  <c r="A360" i="3" s="1"/>
  <c r="E361" i="3"/>
  <c r="A361" i="3" s="1"/>
  <c r="E362" i="3"/>
  <c r="A362" i="3" s="1"/>
  <c r="E363" i="3"/>
  <c r="A363" i="3" s="1"/>
  <c r="E364" i="3"/>
  <c r="A364" i="3" s="1"/>
  <c r="E365" i="3"/>
  <c r="A365" i="3" s="1"/>
  <c r="E366" i="3"/>
  <c r="A366" i="3" s="1"/>
  <c r="E367" i="3"/>
  <c r="A367" i="3" s="1"/>
  <c r="E368" i="3"/>
  <c r="A368" i="3" s="1"/>
  <c r="E369" i="3"/>
  <c r="A369" i="3" s="1"/>
  <c r="E370" i="3"/>
  <c r="A370" i="3" s="1"/>
  <c r="E371" i="3"/>
  <c r="A371" i="3" s="1"/>
  <c r="E372" i="3"/>
  <c r="A372" i="3" s="1"/>
  <c r="E373" i="3"/>
  <c r="A373" i="3" s="1"/>
  <c r="E374" i="3"/>
  <c r="A374" i="3" s="1"/>
  <c r="E375" i="3"/>
  <c r="A375" i="3" s="1"/>
  <c r="E376" i="3"/>
  <c r="A376" i="3" s="1"/>
  <c r="E377" i="3"/>
  <c r="A377" i="3" s="1"/>
  <c r="E378" i="3"/>
  <c r="A378" i="3" s="1"/>
  <c r="E379" i="3"/>
  <c r="A379" i="3" s="1"/>
  <c r="E380" i="3"/>
  <c r="A380" i="3" s="1"/>
  <c r="E381" i="3"/>
  <c r="A381" i="3" s="1"/>
  <c r="E382" i="3"/>
  <c r="A382" i="3" s="1"/>
  <c r="E383" i="3"/>
  <c r="A383" i="3" s="1"/>
  <c r="E384" i="3"/>
  <c r="A384" i="3" s="1"/>
  <c r="E385" i="3"/>
  <c r="A385" i="3" s="1"/>
  <c r="E386" i="3"/>
  <c r="A386" i="3" s="1"/>
  <c r="E387" i="3"/>
  <c r="A387" i="3" s="1"/>
  <c r="E388" i="3"/>
  <c r="A388" i="3" s="1"/>
  <c r="E389" i="3"/>
  <c r="A389" i="3" s="1"/>
  <c r="E390" i="3"/>
  <c r="A390" i="3" s="1"/>
  <c r="E391" i="3"/>
  <c r="A391" i="3" s="1"/>
  <c r="E392" i="3"/>
  <c r="A392" i="3" s="1"/>
  <c r="E393" i="3"/>
  <c r="A393" i="3" s="1"/>
  <c r="E394" i="3"/>
  <c r="A394" i="3" s="1"/>
  <c r="E395" i="3"/>
  <c r="A395" i="3" s="1"/>
  <c r="E396" i="3"/>
  <c r="A396" i="3" s="1"/>
  <c r="E397" i="3"/>
  <c r="A397" i="3" s="1"/>
  <c r="E398" i="3"/>
  <c r="A398" i="3" s="1"/>
  <c r="E399" i="3"/>
  <c r="A399" i="3" s="1"/>
  <c r="E400" i="3"/>
  <c r="A400" i="3" s="1"/>
  <c r="E401" i="3"/>
  <c r="A401" i="3" s="1"/>
  <c r="E402" i="3"/>
  <c r="A402" i="3" s="1"/>
  <c r="E403" i="3"/>
  <c r="A403" i="3" s="1"/>
  <c r="E404" i="3"/>
  <c r="A404" i="3" s="1"/>
  <c r="E405" i="3"/>
  <c r="A405" i="3" s="1"/>
  <c r="E406" i="3"/>
  <c r="A406" i="3" s="1"/>
  <c r="E407" i="3"/>
  <c r="A407" i="3" s="1"/>
  <c r="E408" i="3"/>
  <c r="A408" i="3" s="1"/>
  <c r="E409" i="3"/>
  <c r="A409" i="3" s="1"/>
  <c r="E410" i="3"/>
  <c r="A410" i="3" s="1"/>
  <c r="E411" i="3"/>
  <c r="A411" i="3" s="1"/>
  <c r="E412" i="3"/>
  <c r="A412" i="3" s="1"/>
  <c r="E413" i="3"/>
  <c r="A413" i="3" s="1"/>
  <c r="E414" i="3"/>
  <c r="A414" i="3" s="1"/>
  <c r="E415" i="3"/>
  <c r="A415" i="3" s="1"/>
  <c r="E416" i="3"/>
  <c r="A416" i="3" s="1"/>
  <c r="E417" i="3"/>
  <c r="A417" i="3" s="1"/>
  <c r="E418" i="3"/>
  <c r="A418" i="3" s="1"/>
  <c r="E419" i="3"/>
  <c r="A419" i="3" s="1"/>
  <c r="E420" i="3"/>
  <c r="A420" i="3" s="1"/>
  <c r="E421" i="3"/>
  <c r="A421" i="3" s="1"/>
  <c r="E422" i="3"/>
  <c r="A422" i="3" s="1"/>
  <c r="E423" i="3"/>
  <c r="A423" i="3" s="1"/>
  <c r="E424" i="3"/>
  <c r="A424" i="3" s="1"/>
  <c r="E425" i="3"/>
  <c r="A425" i="3" s="1"/>
  <c r="E426" i="3"/>
  <c r="A426" i="3" s="1"/>
  <c r="E427" i="3"/>
  <c r="A427" i="3" s="1"/>
  <c r="E428" i="3"/>
  <c r="A428" i="3" s="1"/>
  <c r="E429" i="3"/>
  <c r="A429" i="3" s="1"/>
  <c r="E430" i="3"/>
  <c r="A430" i="3" s="1"/>
  <c r="E431" i="3"/>
  <c r="A431" i="3" s="1"/>
  <c r="E432" i="3"/>
  <c r="A432" i="3" s="1"/>
  <c r="E433" i="3"/>
  <c r="A433" i="3" s="1"/>
  <c r="E434" i="3"/>
  <c r="A434" i="3" s="1"/>
  <c r="E435" i="3"/>
  <c r="A435" i="3" s="1"/>
  <c r="E436" i="3"/>
  <c r="A436" i="3" s="1"/>
  <c r="E437" i="3"/>
  <c r="A437" i="3" s="1"/>
  <c r="E438" i="3"/>
  <c r="A438" i="3" s="1"/>
  <c r="E439" i="3"/>
  <c r="A439" i="3" s="1"/>
  <c r="E440" i="3"/>
  <c r="A440" i="3" s="1"/>
  <c r="E441" i="3"/>
  <c r="A441" i="3" s="1"/>
  <c r="E442" i="3"/>
  <c r="A442" i="3" s="1"/>
  <c r="E443" i="3"/>
  <c r="A443" i="3" s="1"/>
  <c r="E444" i="3"/>
  <c r="A444" i="3" s="1"/>
  <c r="E445" i="3"/>
  <c r="A445" i="3" s="1"/>
  <c r="E446" i="3"/>
  <c r="A446" i="3" s="1"/>
  <c r="E447" i="3"/>
  <c r="A447" i="3" s="1"/>
  <c r="E448" i="3"/>
  <c r="A448" i="3" s="1"/>
  <c r="E449" i="3"/>
  <c r="A449" i="3" s="1"/>
  <c r="E450" i="3"/>
  <c r="A450" i="3" s="1"/>
  <c r="E451" i="3"/>
  <c r="A451" i="3" s="1"/>
  <c r="E452" i="3"/>
  <c r="A452" i="3" s="1"/>
  <c r="E453" i="3"/>
  <c r="A453" i="3" s="1"/>
  <c r="E454" i="3"/>
  <c r="A454" i="3" s="1"/>
  <c r="E455" i="3"/>
  <c r="A455" i="3" s="1"/>
  <c r="E456" i="3"/>
  <c r="A456" i="3" s="1"/>
  <c r="E457" i="3"/>
  <c r="A457" i="3" s="1"/>
  <c r="E458" i="3"/>
  <c r="A458" i="3" s="1"/>
  <c r="E459" i="3"/>
  <c r="A459" i="3" s="1"/>
  <c r="E460" i="3"/>
  <c r="A460" i="3" s="1"/>
  <c r="E461" i="3"/>
  <c r="A461" i="3" s="1"/>
  <c r="E462" i="3"/>
  <c r="A462" i="3" s="1"/>
  <c r="E463" i="3"/>
  <c r="A463" i="3" s="1"/>
  <c r="E464" i="3"/>
  <c r="A464" i="3" s="1"/>
  <c r="E465" i="3"/>
  <c r="A465" i="3" s="1"/>
  <c r="E466" i="3"/>
  <c r="A466" i="3" s="1"/>
  <c r="E467" i="3"/>
  <c r="A467" i="3" s="1"/>
  <c r="E468" i="3"/>
  <c r="A468" i="3" s="1"/>
  <c r="E469" i="3"/>
  <c r="A469" i="3" s="1"/>
  <c r="E470" i="3"/>
  <c r="A470" i="3" s="1"/>
  <c r="E471" i="3"/>
  <c r="A471" i="3" s="1"/>
  <c r="E472" i="3"/>
  <c r="A472" i="3" s="1"/>
  <c r="E473" i="3"/>
  <c r="A473" i="3" s="1"/>
  <c r="E474" i="3"/>
  <c r="A474" i="3" s="1"/>
  <c r="E475" i="3"/>
  <c r="A475" i="3" s="1"/>
  <c r="E476" i="3"/>
  <c r="A476" i="3" s="1"/>
  <c r="E477" i="3"/>
  <c r="A477" i="3" s="1"/>
  <c r="E478" i="3"/>
  <c r="A478" i="3" s="1"/>
  <c r="E479" i="3"/>
  <c r="A479" i="3" s="1"/>
  <c r="E480" i="3"/>
  <c r="A480" i="3" s="1"/>
  <c r="E481" i="3"/>
  <c r="A481" i="3" s="1"/>
  <c r="E482" i="3"/>
  <c r="A482" i="3" s="1"/>
  <c r="E483" i="3"/>
  <c r="A483" i="3" s="1"/>
  <c r="E484" i="3"/>
  <c r="A484" i="3" s="1"/>
  <c r="E485" i="3"/>
  <c r="A485" i="3" s="1"/>
  <c r="E486" i="3"/>
  <c r="A486" i="3" s="1"/>
  <c r="E487" i="3"/>
  <c r="A487" i="3" s="1"/>
  <c r="E488" i="3"/>
  <c r="A488" i="3" s="1"/>
  <c r="E489" i="3"/>
  <c r="A489" i="3" s="1"/>
  <c r="E490" i="3"/>
  <c r="A490" i="3" s="1"/>
  <c r="E491" i="3"/>
  <c r="A491" i="3" s="1"/>
  <c r="E492" i="3"/>
  <c r="A492" i="3" s="1"/>
  <c r="E493" i="3"/>
  <c r="A493" i="3" s="1"/>
  <c r="E494" i="3"/>
  <c r="A494" i="3" s="1"/>
  <c r="E495" i="3"/>
  <c r="A495" i="3" s="1"/>
  <c r="E496" i="3"/>
  <c r="A496" i="3" s="1"/>
  <c r="E497" i="3"/>
  <c r="A497" i="3" s="1"/>
  <c r="E498" i="3"/>
  <c r="A498" i="3" s="1"/>
  <c r="E499" i="3"/>
  <c r="A499" i="3" s="1"/>
  <c r="E500" i="3"/>
  <c r="A500" i="3" s="1"/>
  <c r="E501" i="3"/>
  <c r="A501" i="3" s="1"/>
  <c r="E502" i="3"/>
  <c r="A502" i="3" s="1"/>
  <c r="E503" i="3"/>
  <c r="A503" i="3" s="1"/>
  <c r="E504" i="3"/>
  <c r="A504" i="3" s="1"/>
  <c r="E505" i="3"/>
  <c r="A505" i="3" s="1"/>
  <c r="E506" i="3"/>
  <c r="A506" i="3" s="1"/>
  <c r="E507" i="3"/>
  <c r="A507" i="3" s="1"/>
  <c r="E508" i="3"/>
  <c r="A508" i="3" s="1"/>
  <c r="E509" i="3"/>
  <c r="A509" i="3" s="1"/>
  <c r="E510" i="3"/>
  <c r="A510" i="3" s="1"/>
  <c r="E511" i="3"/>
  <c r="A511" i="3" s="1"/>
  <c r="E512" i="3"/>
  <c r="A512" i="3" s="1"/>
  <c r="E513" i="3"/>
  <c r="A513" i="3" s="1"/>
  <c r="E514" i="3"/>
  <c r="A514" i="3" s="1"/>
  <c r="E515" i="3"/>
  <c r="A515" i="3" s="1"/>
  <c r="E516" i="3"/>
  <c r="A516" i="3" s="1"/>
  <c r="E517" i="3"/>
  <c r="A517" i="3" s="1"/>
  <c r="E518" i="3"/>
  <c r="A518" i="3" s="1"/>
  <c r="E519" i="3"/>
  <c r="A519" i="3" s="1"/>
  <c r="E520" i="3"/>
  <c r="A520" i="3" s="1"/>
  <c r="E521" i="3"/>
  <c r="A521" i="3" s="1"/>
  <c r="E522" i="3"/>
  <c r="A522" i="3" s="1"/>
  <c r="E523" i="3"/>
  <c r="A523" i="3" s="1"/>
  <c r="E524" i="3"/>
  <c r="A524" i="3" s="1"/>
  <c r="E525" i="3"/>
  <c r="A525" i="3" s="1"/>
  <c r="E526" i="3"/>
  <c r="A526" i="3" s="1"/>
  <c r="E527" i="3"/>
  <c r="A527" i="3" s="1"/>
  <c r="E528" i="3"/>
  <c r="A528" i="3" s="1"/>
  <c r="E529" i="3"/>
  <c r="A529" i="3" s="1"/>
  <c r="E530" i="3"/>
  <c r="A530" i="3" s="1"/>
  <c r="E531" i="3"/>
  <c r="A531" i="3" s="1"/>
  <c r="E532" i="3"/>
  <c r="A532" i="3" s="1"/>
  <c r="E533" i="3"/>
  <c r="A533" i="3" s="1"/>
  <c r="E534" i="3"/>
  <c r="A534" i="3" s="1"/>
  <c r="E535" i="3"/>
  <c r="A535" i="3" s="1"/>
  <c r="E536" i="3"/>
  <c r="A536" i="3" s="1"/>
  <c r="E537" i="3"/>
  <c r="A537" i="3" s="1"/>
  <c r="E538" i="3"/>
  <c r="A538" i="3" s="1"/>
  <c r="E539" i="3"/>
  <c r="A539" i="3" s="1"/>
  <c r="E540" i="3"/>
  <c r="A540" i="3" s="1"/>
  <c r="E541" i="3"/>
  <c r="A541" i="3" s="1"/>
  <c r="E542" i="3"/>
  <c r="A542" i="3" s="1"/>
  <c r="E543" i="3"/>
  <c r="A543" i="3" s="1"/>
  <c r="E544" i="3"/>
  <c r="A544" i="3" s="1"/>
  <c r="E545" i="3"/>
  <c r="A545" i="3" s="1"/>
  <c r="E546" i="3"/>
  <c r="A546" i="3" s="1"/>
  <c r="E547" i="3"/>
  <c r="A547" i="3" s="1"/>
  <c r="E548" i="3"/>
  <c r="A548" i="3" s="1"/>
  <c r="E549" i="3"/>
  <c r="A549" i="3" s="1"/>
  <c r="E550" i="3"/>
  <c r="A550" i="3" s="1"/>
  <c r="E551" i="3"/>
  <c r="A551" i="3" s="1"/>
  <c r="E552" i="3"/>
  <c r="A552" i="3" s="1"/>
  <c r="E553" i="3"/>
  <c r="A553" i="3" s="1"/>
  <c r="E554" i="3"/>
  <c r="A554" i="3" s="1"/>
  <c r="E555" i="3"/>
  <c r="A555" i="3" s="1"/>
  <c r="E556" i="3"/>
  <c r="A556" i="3" s="1"/>
  <c r="E557" i="3"/>
  <c r="A557" i="3" s="1"/>
  <c r="E558" i="3"/>
  <c r="A558" i="3" s="1"/>
  <c r="E559" i="3"/>
  <c r="A559" i="3" s="1"/>
  <c r="E560" i="3"/>
  <c r="A560" i="3" s="1"/>
  <c r="E561" i="3"/>
  <c r="A561" i="3" s="1"/>
  <c r="E562" i="3"/>
  <c r="A562" i="3" s="1"/>
  <c r="E563" i="3"/>
  <c r="A563" i="3" s="1"/>
  <c r="E564" i="3"/>
  <c r="A564" i="3" s="1"/>
  <c r="E565" i="3"/>
  <c r="A565" i="3" s="1"/>
  <c r="E566" i="3"/>
  <c r="A566" i="3" s="1"/>
  <c r="E567" i="3"/>
  <c r="A567" i="3" s="1"/>
  <c r="E568" i="3"/>
  <c r="A568" i="3" s="1"/>
  <c r="E569" i="3"/>
  <c r="A569" i="3" s="1"/>
  <c r="E570" i="3"/>
  <c r="A570" i="3" s="1"/>
  <c r="E571" i="3"/>
  <c r="A571" i="3" s="1"/>
  <c r="E572" i="3"/>
  <c r="A572" i="3" s="1"/>
  <c r="E573" i="3"/>
  <c r="A573" i="3" s="1"/>
  <c r="E574" i="3"/>
  <c r="A574" i="3" s="1"/>
  <c r="E575" i="3"/>
  <c r="A575" i="3" s="1"/>
  <c r="E576" i="3"/>
  <c r="A576" i="3" s="1"/>
  <c r="E577" i="3"/>
  <c r="A577" i="3" s="1"/>
  <c r="E578" i="3"/>
  <c r="A578" i="3" s="1"/>
  <c r="E579" i="3"/>
  <c r="A579" i="3" s="1"/>
  <c r="E580" i="3"/>
  <c r="A580" i="3" s="1"/>
  <c r="E581" i="3"/>
  <c r="A581" i="3" s="1"/>
  <c r="E582" i="3"/>
  <c r="A582" i="3" s="1"/>
  <c r="E583" i="3"/>
  <c r="A583" i="3" s="1"/>
  <c r="E584" i="3"/>
  <c r="A584" i="3" s="1"/>
  <c r="E585" i="3"/>
  <c r="A585" i="3" s="1"/>
  <c r="E586" i="3"/>
  <c r="A586" i="3" s="1"/>
  <c r="E587" i="3"/>
  <c r="A587" i="3" s="1"/>
  <c r="E588" i="3"/>
  <c r="A588" i="3" s="1"/>
  <c r="E589" i="3"/>
  <c r="A589" i="3" s="1"/>
  <c r="E590" i="3"/>
  <c r="A590" i="3" s="1"/>
  <c r="E591" i="3"/>
  <c r="A591" i="3" s="1"/>
  <c r="E592" i="3"/>
  <c r="A592" i="3" s="1"/>
  <c r="E593" i="3"/>
  <c r="A593" i="3" s="1"/>
  <c r="E594" i="3"/>
  <c r="A594" i="3" s="1"/>
  <c r="E595" i="3"/>
  <c r="A595" i="3" s="1"/>
  <c r="E596" i="3"/>
  <c r="A596" i="3" s="1"/>
  <c r="E597" i="3"/>
  <c r="A597" i="3" s="1"/>
  <c r="E598" i="3"/>
  <c r="A598" i="3" s="1"/>
  <c r="E599" i="3"/>
  <c r="A599" i="3" s="1"/>
  <c r="E600" i="3"/>
  <c r="A600" i="3" s="1"/>
  <c r="E601" i="3"/>
  <c r="A601" i="3" s="1"/>
  <c r="E602" i="3"/>
  <c r="A602" i="3" s="1"/>
  <c r="E603" i="3"/>
  <c r="A603" i="3" s="1"/>
  <c r="E604" i="3"/>
  <c r="A604" i="3" s="1"/>
  <c r="E605" i="3"/>
  <c r="A605" i="3" s="1"/>
  <c r="E606" i="3"/>
  <c r="A606" i="3" s="1"/>
  <c r="E607" i="3"/>
  <c r="A607" i="3" s="1"/>
  <c r="E608" i="3"/>
  <c r="A608" i="3" s="1"/>
  <c r="E609" i="3"/>
  <c r="A609" i="3" s="1"/>
  <c r="E610" i="3"/>
  <c r="A610" i="3" s="1"/>
  <c r="E611" i="3"/>
  <c r="A611" i="3" s="1"/>
  <c r="E612" i="3"/>
  <c r="A612" i="3" s="1"/>
  <c r="E613" i="3"/>
  <c r="A613" i="3" s="1"/>
  <c r="E614" i="3"/>
  <c r="A614" i="3" s="1"/>
  <c r="E615" i="3"/>
  <c r="A615" i="3" s="1"/>
  <c r="E616" i="3"/>
  <c r="A616" i="3" s="1"/>
  <c r="E617" i="3"/>
  <c r="A617" i="3" s="1"/>
  <c r="E618" i="3"/>
  <c r="A618" i="3" s="1"/>
  <c r="E619" i="3"/>
  <c r="A619" i="3" s="1"/>
  <c r="E620" i="3"/>
  <c r="A620" i="3" s="1"/>
  <c r="E621" i="3"/>
  <c r="A621" i="3" s="1"/>
  <c r="E622" i="3"/>
  <c r="A622" i="3" s="1"/>
  <c r="E623" i="3"/>
  <c r="A623" i="3" s="1"/>
  <c r="E624" i="3"/>
  <c r="A624" i="3" s="1"/>
  <c r="E625" i="3"/>
  <c r="A625" i="3" s="1"/>
  <c r="E626" i="3"/>
  <c r="A626" i="3" s="1"/>
  <c r="E627" i="3"/>
  <c r="A627" i="3" s="1"/>
  <c r="E628" i="3"/>
  <c r="A628" i="3" s="1"/>
  <c r="E629" i="3"/>
  <c r="A629" i="3" s="1"/>
  <c r="E630" i="3"/>
  <c r="A630" i="3" s="1"/>
  <c r="E631" i="3"/>
  <c r="A631" i="3" s="1"/>
  <c r="E632" i="3"/>
  <c r="A632" i="3" s="1"/>
  <c r="E633" i="3"/>
  <c r="A633" i="3" s="1"/>
  <c r="E634" i="3"/>
  <c r="A634" i="3" s="1"/>
  <c r="E635" i="3"/>
  <c r="A635" i="3" s="1"/>
  <c r="E636" i="3"/>
  <c r="A636" i="3" s="1"/>
  <c r="E637" i="3"/>
  <c r="A637" i="3" s="1"/>
  <c r="E638" i="3"/>
  <c r="A638" i="3" s="1"/>
  <c r="E639" i="3"/>
  <c r="A639" i="3" s="1"/>
  <c r="E640" i="3"/>
  <c r="A640" i="3" s="1"/>
  <c r="E641" i="3"/>
  <c r="A641" i="3" s="1"/>
  <c r="E642" i="3"/>
  <c r="A642" i="3" s="1"/>
  <c r="E643" i="3"/>
  <c r="A643" i="3" s="1"/>
  <c r="E644" i="3"/>
  <c r="A644" i="3" s="1"/>
  <c r="E645" i="3"/>
  <c r="A645" i="3" s="1"/>
  <c r="E646" i="3"/>
  <c r="A646" i="3" s="1"/>
  <c r="E647" i="3"/>
  <c r="A647" i="3" s="1"/>
  <c r="E648" i="3"/>
  <c r="A648" i="3" s="1"/>
  <c r="E649" i="3"/>
  <c r="A649" i="3" s="1"/>
  <c r="E650" i="3"/>
  <c r="A650" i="3" s="1"/>
  <c r="E651" i="3"/>
  <c r="A651" i="3" s="1"/>
  <c r="E652" i="3"/>
  <c r="A652" i="3" s="1"/>
  <c r="E653" i="3"/>
  <c r="A653" i="3" s="1"/>
  <c r="E654" i="3"/>
  <c r="A654" i="3" s="1"/>
  <c r="E655" i="3"/>
  <c r="A655" i="3" s="1"/>
  <c r="E656" i="3"/>
  <c r="A656" i="3" s="1"/>
  <c r="E657" i="3"/>
  <c r="A657" i="3" s="1"/>
  <c r="E658" i="3"/>
  <c r="A658" i="3" s="1"/>
  <c r="E659" i="3"/>
  <c r="A659" i="3" s="1"/>
  <c r="E660" i="3"/>
  <c r="A660" i="3" s="1"/>
  <c r="E661" i="3"/>
  <c r="A661" i="3" s="1"/>
  <c r="E662" i="3"/>
  <c r="A662" i="3" s="1"/>
  <c r="E663" i="3"/>
  <c r="A663" i="3" s="1"/>
  <c r="E664" i="3"/>
  <c r="A664" i="3" s="1"/>
  <c r="E665" i="3"/>
  <c r="A665" i="3" s="1"/>
  <c r="E666" i="3"/>
  <c r="A666" i="3" s="1"/>
  <c r="E667" i="3"/>
  <c r="A667" i="3" s="1"/>
  <c r="E668" i="3"/>
  <c r="A668" i="3" s="1"/>
  <c r="E669" i="3"/>
  <c r="A669" i="3" s="1"/>
  <c r="E670" i="3"/>
  <c r="A670" i="3" s="1"/>
  <c r="E671" i="3"/>
  <c r="A671" i="3" s="1"/>
  <c r="E672" i="3"/>
  <c r="A672" i="3" s="1"/>
  <c r="E673" i="3"/>
  <c r="A673" i="3" s="1"/>
  <c r="E674" i="3"/>
  <c r="A674" i="3" s="1"/>
  <c r="E675" i="3"/>
  <c r="A675" i="3" s="1"/>
  <c r="E676" i="3"/>
  <c r="A676" i="3" s="1"/>
  <c r="E677" i="3"/>
  <c r="A677" i="3" s="1"/>
  <c r="E678" i="3"/>
  <c r="A678" i="3" s="1"/>
  <c r="E679" i="3"/>
  <c r="A679" i="3" s="1"/>
  <c r="E680" i="3"/>
  <c r="A680" i="3" s="1"/>
  <c r="E681" i="3"/>
  <c r="A681" i="3" s="1"/>
  <c r="E682" i="3"/>
  <c r="A682" i="3" s="1"/>
  <c r="E683" i="3"/>
  <c r="A683" i="3" s="1"/>
  <c r="E684" i="3"/>
  <c r="A684" i="3" s="1"/>
  <c r="E685" i="3"/>
  <c r="A685" i="3" s="1"/>
  <c r="E686" i="3"/>
  <c r="A686" i="3" s="1"/>
  <c r="E687" i="3"/>
  <c r="A687" i="3" s="1"/>
  <c r="E688" i="3"/>
  <c r="A688" i="3" s="1"/>
  <c r="E689" i="3"/>
  <c r="A689" i="3" s="1"/>
  <c r="E690" i="3"/>
  <c r="A690" i="3" s="1"/>
  <c r="E691" i="3"/>
  <c r="A691" i="3" s="1"/>
  <c r="E692" i="3"/>
  <c r="A692" i="3" s="1"/>
  <c r="E693" i="3"/>
  <c r="A693" i="3" s="1"/>
  <c r="E694" i="3"/>
  <c r="A694" i="3" s="1"/>
  <c r="E695" i="3"/>
  <c r="A695" i="3" s="1"/>
  <c r="E696" i="3"/>
  <c r="A696" i="3" s="1"/>
  <c r="E697" i="3"/>
  <c r="A697" i="3" s="1"/>
  <c r="E698" i="3"/>
  <c r="A698" i="3" s="1"/>
  <c r="E699" i="3"/>
  <c r="A699" i="3" s="1"/>
  <c r="E700" i="3"/>
  <c r="A700" i="3" s="1"/>
  <c r="E701" i="3"/>
  <c r="A701" i="3" s="1"/>
  <c r="E702" i="3"/>
  <c r="A702" i="3" s="1"/>
  <c r="E703" i="3"/>
  <c r="A703" i="3" s="1"/>
  <c r="E704" i="3"/>
  <c r="A704" i="3" s="1"/>
  <c r="E705" i="3"/>
  <c r="A705" i="3" s="1"/>
  <c r="E706" i="3"/>
  <c r="A706" i="3" s="1"/>
  <c r="E707" i="3"/>
  <c r="A707" i="3" s="1"/>
  <c r="E708" i="3"/>
  <c r="A708" i="3" s="1"/>
  <c r="E709" i="3"/>
  <c r="A709" i="3" s="1"/>
  <c r="E710" i="3"/>
  <c r="A710" i="3" s="1"/>
  <c r="E711" i="3"/>
  <c r="A711" i="3" s="1"/>
  <c r="E712" i="3"/>
  <c r="A712" i="3" s="1"/>
  <c r="E713" i="3"/>
  <c r="A713" i="3" s="1"/>
  <c r="E714" i="3"/>
  <c r="A714" i="3" s="1"/>
  <c r="E715" i="3"/>
  <c r="A715" i="3" s="1"/>
  <c r="E716" i="3"/>
  <c r="A716" i="3" s="1"/>
  <c r="E717" i="3"/>
  <c r="A717" i="3" s="1"/>
  <c r="E718" i="3"/>
  <c r="A718" i="3" s="1"/>
  <c r="E719" i="3"/>
  <c r="A719" i="3" s="1"/>
  <c r="E720" i="3"/>
  <c r="A720" i="3" s="1"/>
  <c r="E721" i="3"/>
  <c r="A721" i="3" s="1"/>
  <c r="E722" i="3"/>
  <c r="A722" i="3" s="1"/>
  <c r="E723" i="3"/>
  <c r="A723" i="3" s="1"/>
  <c r="E724" i="3"/>
  <c r="A724" i="3" s="1"/>
  <c r="E725" i="3"/>
  <c r="A725" i="3" s="1"/>
  <c r="E726" i="3"/>
  <c r="A726" i="3" s="1"/>
  <c r="E727" i="3"/>
  <c r="A727" i="3" s="1"/>
  <c r="E728" i="3"/>
  <c r="A728" i="3" s="1"/>
  <c r="E729" i="3"/>
  <c r="A729" i="3" s="1"/>
  <c r="E730" i="3"/>
  <c r="A730" i="3" s="1"/>
  <c r="E731" i="3"/>
  <c r="A731" i="3" s="1"/>
  <c r="E732" i="3"/>
  <c r="A732" i="3" s="1"/>
  <c r="E733" i="3"/>
  <c r="A733" i="3" s="1"/>
  <c r="E734" i="3"/>
  <c r="A734" i="3" s="1"/>
  <c r="E735" i="3"/>
  <c r="A735" i="3" s="1"/>
  <c r="E736" i="3"/>
  <c r="A736" i="3" s="1"/>
  <c r="E737" i="3"/>
  <c r="A737" i="3" s="1"/>
  <c r="E738" i="3"/>
  <c r="A738" i="3" s="1"/>
  <c r="E739" i="3"/>
  <c r="A739" i="3" s="1"/>
  <c r="E740" i="3"/>
  <c r="A740" i="3" s="1"/>
  <c r="E741" i="3"/>
  <c r="A741" i="3" s="1"/>
  <c r="E742" i="3"/>
  <c r="A742" i="3" s="1"/>
  <c r="E743" i="3"/>
  <c r="A743" i="3" s="1"/>
  <c r="E744" i="3"/>
  <c r="A744" i="3" s="1"/>
  <c r="E745" i="3"/>
  <c r="A745" i="3" s="1"/>
  <c r="E746" i="3"/>
  <c r="A746" i="3" s="1"/>
  <c r="E747" i="3"/>
  <c r="A747" i="3" s="1"/>
  <c r="E748" i="3"/>
  <c r="A748" i="3" s="1"/>
  <c r="E749" i="3"/>
  <c r="A749" i="3" s="1"/>
  <c r="E750" i="3"/>
  <c r="A750" i="3" s="1"/>
  <c r="E751" i="3"/>
  <c r="A751" i="3" s="1"/>
  <c r="E752" i="3"/>
  <c r="A752" i="3" s="1"/>
  <c r="E753" i="3"/>
  <c r="A753" i="3" s="1"/>
  <c r="E754" i="3"/>
  <c r="A754" i="3" s="1"/>
  <c r="E755" i="3"/>
  <c r="A755" i="3" s="1"/>
  <c r="E756" i="3"/>
  <c r="A756" i="3" s="1"/>
  <c r="E757" i="3"/>
  <c r="A757" i="3" s="1"/>
  <c r="E758" i="3"/>
  <c r="A758" i="3" s="1"/>
  <c r="E759" i="3"/>
  <c r="A759" i="3" s="1"/>
  <c r="E760" i="3"/>
  <c r="A760" i="3" s="1"/>
  <c r="E761" i="3"/>
  <c r="A761" i="3" s="1"/>
  <c r="E762" i="3"/>
  <c r="A762" i="3" s="1"/>
  <c r="E763" i="3"/>
  <c r="A763" i="3" s="1"/>
  <c r="E764" i="3"/>
  <c r="A764" i="3" s="1"/>
  <c r="E765" i="3"/>
  <c r="A765" i="3" s="1"/>
  <c r="E766" i="3"/>
  <c r="A766" i="3" s="1"/>
  <c r="E767" i="3"/>
  <c r="A767" i="3" s="1"/>
  <c r="E768" i="3"/>
  <c r="A768" i="3" s="1"/>
  <c r="E769" i="3"/>
  <c r="A769" i="3" s="1"/>
  <c r="E770" i="3"/>
  <c r="A770" i="3" s="1"/>
  <c r="E771" i="3"/>
  <c r="A771" i="3" s="1"/>
  <c r="E772" i="3"/>
  <c r="A772" i="3" s="1"/>
  <c r="E773" i="3"/>
  <c r="A773" i="3" s="1"/>
  <c r="E774" i="3"/>
  <c r="A774" i="3" s="1"/>
  <c r="E775" i="3"/>
  <c r="A775" i="3" s="1"/>
  <c r="E776" i="3"/>
  <c r="A776" i="3" s="1"/>
  <c r="E777" i="3"/>
  <c r="A777" i="3" s="1"/>
  <c r="E778" i="3"/>
  <c r="A778" i="3" s="1"/>
  <c r="E779" i="3"/>
  <c r="A779" i="3" s="1"/>
  <c r="E780" i="3"/>
  <c r="A780" i="3" s="1"/>
  <c r="E781" i="3"/>
  <c r="A781" i="3" s="1"/>
  <c r="E782" i="3"/>
  <c r="A782" i="3" s="1"/>
  <c r="E783" i="3"/>
  <c r="A783" i="3" s="1"/>
  <c r="E784" i="3"/>
  <c r="A784" i="3" s="1"/>
  <c r="E785" i="3"/>
  <c r="A785" i="3" s="1"/>
  <c r="E786" i="3"/>
  <c r="A786" i="3" s="1"/>
  <c r="E787" i="3"/>
  <c r="A787" i="3" s="1"/>
  <c r="E788" i="3"/>
  <c r="A788" i="3" s="1"/>
  <c r="E789" i="3"/>
  <c r="A789" i="3" s="1"/>
  <c r="E790" i="3"/>
  <c r="A790" i="3" s="1"/>
  <c r="E791" i="3"/>
  <c r="A791" i="3" s="1"/>
  <c r="E792" i="3"/>
  <c r="A792" i="3" s="1"/>
  <c r="E793" i="3"/>
  <c r="A793" i="3" s="1"/>
  <c r="E794" i="3"/>
  <c r="A794" i="3" s="1"/>
  <c r="E795" i="3"/>
  <c r="A795" i="3" s="1"/>
  <c r="E796" i="3"/>
  <c r="A796" i="3" s="1"/>
  <c r="E797" i="3"/>
  <c r="A797" i="3" s="1"/>
  <c r="E798" i="3"/>
  <c r="A798" i="3" s="1"/>
  <c r="E799" i="3"/>
  <c r="A799" i="3" s="1"/>
  <c r="E800" i="3"/>
  <c r="A800" i="3" s="1"/>
  <c r="E801" i="3"/>
  <c r="A801" i="3" s="1"/>
  <c r="E802" i="3"/>
  <c r="A802" i="3" s="1"/>
  <c r="E803" i="3"/>
  <c r="A803" i="3" s="1"/>
  <c r="E804" i="3"/>
  <c r="A804" i="3" s="1"/>
  <c r="E805" i="3"/>
  <c r="A805" i="3" s="1"/>
  <c r="E806" i="3"/>
  <c r="A806" i="3" s="1"/>
  <c r="E807" i="3"/>
  <c r="A807" i="3" s="1"/>
  <c r="E808" i="3"/>
  <c r="A808" i="3" s="1"/>
  <c r="E809" i="3"/>
  <c r="A809" i="3" s="1"/>
  <c r="E810" i="3"/>
  <c r="A810" i="3" s="1"/>
  <c r="E811" i="3"/>
  <c r="A811" i="3" s="1"/>
  <c r="E812" i="3"/>
  <c r="A812" i="3" s="1"/>
  <c r="E813" i="3"/>
  <c r="A813" i="3" s="1"/>
  <c r="E814" i="3"/>
  <c r="A814" i="3" s="1"/>
  <c r="E815" i="3"/>
  <c r="A815" i="3" s="1"/>
  <c r="E816" i="3"/>
  <c r="A816" i="3" s="1"/>
  <c r="E817" i="3"/>
  <c r="A817" i="3" s="1"/>
  <c r="E818" i="3"/>
  <c r="A818" i="3" s="1"/>
  <c r="E819" i="3"/>
  <c r="A819" i="3" s="1"/>
  <c r="E820" i="3"/>
  <c r="A820" i="3" s="1"/>
  <c r="E821" i="3"/>
  <c r="A821" i="3" s="1"/>
  <c r="E822" i="3"/>
  <c r="A822" i="3" s="1"/>
  <c r="E823" i="3"/>
  <c r="A823" i="3" s="1"/>
  <c r="E824" i="3"/>
  <c r="A824" i="3" s="1"/>
  <c r="E825" i="3"/>
  <c r="A825" i="3" s="1"/>
  <c r="E826" i="3"/>
  <c r="A826" i="3" s="1"/>
  <c r="E827" i="3"/>
  <c r="A827" i="3" s="1"/>
  <c r="E828" i="3"/>
  <c r="A828" i="3" s="1"/>
  <c r="E829" i="3"/>
  <c r="A829" i="3" s="1"/>
  <c r="E830" i="3"/>
  <c r="A830" i="3" s="1"/>
  <c r="E831" i="3"/>
  <c r="A831" i="3" s="1"/>
  <c r="E832" i="3"/>
  <c r="A832" i="3" s="1"/>
  <c r="E833" i="3"/>
  <c r="A833" i="3" s="1"/>
  <c r="E834" i="3"/>
  <c r="A834" i="3" s="1"/>
  <c r="E835" i="3"/>
  <c r="A835" i="3" s="1"/>
  <c r="E836" i="3"/>
  <c r="A836" i="3" s="1"/>
  <c r="E837" i="3"/>
  <c r="A837" i="3" s="1"/>
  <c r="E838" i="3"/>
  <c r="A838" i="3" s="1"/>
  <c r="E839" i="3"/>
  <c r="A839" i="3" s="1"/>
  <c r="E840" i="3"/>
  <c r="A840" i="3" s="1"/>
  <c r="E841" i="3"/>
  <c r="A841" i="3" s="1"/>
  <c r="E842" i="3"/>
  <c r="A842" i="3" s="1"/>
  <c r="E843" i="3"/>
  <c r="A843" i="3" s="1"/>
  <c r="E844" i="3"/>
  <c r="A844" i="3" s="1"/>
  <c r="E845" i="3"/>
  <c r="A845" i="3" s="1"/>
  <c r="E846" i="3"/>
  <c r="A846" i="3" s="1"/>
  <c r="E847" i="3"/>
  <c r="A847" i="3" s="1"/>
  <c r="E848" i="3"/>
  <c r="A848" i="3" s="1"/>
  <c r="E849" i="3"/>
  <c r="A849" i="3" s="1"/>
  <c r="E850" i="3"/>
  <c r="A850" i="3" s="1"/>
  <c r="E851" i="3"/>
  <c r="A851" i="3" s="1"/>
  <c r="E852" i="3"/>
  <c r="A852" i="3" s="1"/>
  <c r="E853" i="3"/>
  <c r="A853" i="3" s="1"/>
  <c r="E854" i="3"/>
  <c r="A854" i="3" s="1"/>
  <c r="E855" i="3"/>
  <c r="A855" i="3" s="1"/>
  <c r="E856" i="3"/>
  <c r="A856" i="3" s="1"/>
  <c r="E857" i="3"/>
  <c r="A857" i="3" s="1"/>
  <c r="E858" i="3"/>
  <c r="A858" i="3" s="1"/>
  <c r="E859" i="3"/>
  <c r="A859" i="3" s="1"/>
  <c r="E860" i="3"/>
  <c r="A860" i="3" s="1"/>
  <c r="E861" i="3"/>
  <c r="A861" i="3" s="1"/>
  <c r="E862" i="3"/>
  <c r="A862" i="3" s="1"/>
  <c r="E863" i="3"/>
  <c r="A863" i="3" s="1"/>
  <c r="E864" i="3"/>
  <c r="A864" i="3" s="1"/>
  <c r="E865" i="3"/>
  <c r="A865" i="3" s="1"/>
  <c r="E866" i="3"/>
  <c r="A866" i="3" s="1"/>
  <c r="E867" i="3"/>
  <c r="A867" i="3" s="1"/>
  <c r="E868" i="3"/>
  <c r="A868" i="3" s="1"/>
  <c r="E869" i="3"/>
  <c r="A869" i="3" s="1"/>
  <c r="E870" i="3"/>
  <c r="A870" i="3" s="1"/>
  <c r="E871" i="3"/>
  <c r="A871" i="3" s="1"/>
  <c r="E872" i="3"/>
  <c r="A872" i="3" s="1"/>
  <c r="E873" i="3"/>
  <c r="A873" i="3" s="1"/>
  <c r="E874" i="3"/>
  <c r="A874" i="3" s="1"/>
  <c r="E875" i="3"/>
  <c r="A875" i="3" s="1"/>
  <c r="E876" i="3"/>
  <c r="A876" i="3" s="1"/>
  <c r="E877" i="3"/>
  <c r="A877" i="3" s="1"/>
  <c r="E878" i="3"/>
  <c r="A878" i="3" s="1"/>
  <c r="E879" i="3"/>
  <c r="A879" i="3" s="1"/>
  <c r="E880" i="3"/>
  <c r="A880" i="3" s="1"/>
  <c r="E881" i="3"/>
  <c r="A881" i="3" s="1"/>
  <c r="E882" i="3"/>
  <c r="A882" i="3" s="1"/>
  <c r="E883" i="3"/>
  <c r="A883" i="3" s="1"/>
  <c r="E884" i="3"/>
  <c r="A884" i="3" s="1"/>
  <c r="E885" i="3"/>
  <c r="A885" i="3" s="1"/>
  <c r="E886" i="3"/>
  <c r="A886" i="3" s="1"/>
  <c r="E887" i="3"/>
  <c r="A887" i="3" s="1"/>
  <c r="E888" i="3"/>
  <c r="A888" i="3" s="1"/>
  <c r="E889" i="3"/>
  <c r="A889" i="3" s="1"/>
  <c r="E890" i="3"/>
  <c r="A890" i="3" s="1"/>
  <c r="E891" i="3"/>
  <c r="A891" i="3" s="1"/>
  <c r="E892" i="3"/>
  <c r="A892" i="3" s="1"/>
  <c r="E893" i="3"/>
  <c r="A893" i="3" s="1"/>
  <c r="E894" i="3"/>
  <c r="A894" i="3" s="1"/>
  <c r="E895" i="3"/>
  <c r="A895" i="3" s="1"/>
  <c r="E896" i="3"/>
  <c r="A896" i="3" s="1"/>
  <c r="E897" i="3"/>
  <c r="A897" i="3" s="1"/>
  <c r="E898" i="3"/>
  <c r="A898" i="3" s="1"/>
  <c r="E899" i="3"/>
  <c r="A899" i="3" s="1"/>
  <c r="E900" i="3"/>
  <c r="A900" i="3" s="1"/>
  <c r="E901" i="3"/>
  <c r="A901" i="3" s="1"/>
  <c r="E902" i="3"/>
  <c r="A902" i="3" s="1"/>
  <c r="E903" i="3"/>
  <c r="A903" i="3" s="1"/>
  <c r="E904" i="3"/>
  <c r="A904" i="3" s="1"/>
  <c r="E905" i="3"/>
  <c r="A905" i="3" s="1"/>
  <c r="E906" i="3"/>
  <c r="A906" i="3" s="1"/>
  <c r="E907" i="3"/>
  <c r="A907" i="3" s="1"/>
  <c r="E908" i="3"/>
  <c r="A908" i="3" s="1"/>
  <c r="E909" i="3"/>
  <c r="A909" i="3" s="1"/>
  <c r="E910" i="3"/>
  <c r="A910" i="3" s="1"/>
  <c r="E911" i="3"/>
  <c r="A911" i="3" s="1"/>
  <c r="E912" i="3"/>
  <c r="A912" i="3" s="1"/>
  <c r="E913" i="3"/>
  <c r="A913" i="3" s="1"/>
  <c r="E914" i="3"/>
  <c r="A914" i="3" s="1"/>
  <c r="E915" i="3"/>
  <c r="A915" i="3" s="1"/>
  <c r="E916" i="3"/>
  <c r="A916" i="3" s="1"/>
  <c r="E917" i="3"/>
  <c r="A917" i="3" s="1"/>
  <c r="E918" i="3"/>
  <c r="A918" i="3" s="1"/>
  <c r="E919" i="3"/>
  <c r="A919" i="3" s="1"/>
  <c r="E920" i="3"/>
  <c r="A920" i="3" s="1"/>
  <c r="E921" i="3"/>
  <c r="A921" i="3" s="1"/>
  <c r="E922" i="3"/>
  <c r="A922" i="3" s="1"/>
  <c r="E923" i="3"/>
  <c r="A923" i="3" s="1"/>
  <c r="E924" i="3"/>
  <c r="A924" i="3" s="1"/>
  <c r="E925" i="3"/>
  <c r="A925" i="3" s="1"/>
  <c r="E926" i="3"/>
  <c r="A926" i="3" s="1"/>
  <c r="E927" i="3"/>
  <c r="A927" i="3" s="1"/>
  <c r="E928" i="3"/>
  <c r="A928" i="3" s="1"/>
  <c r="E929" i="3"/>
  <c r="A929" i="3" s="1"/>
  <c r="E930" i="3"/>
  <c r="A930" i="3" s="1"/>
  <c r="E931" i="3"/>
  <c r="A931" i="3" s="1"/>
  <c r="E932" i="3"/>
  <c r="A932" i="3" s="1"/>
  <c r="E933" i="3"/>
  <c r="A933" i="3" s="1"/>
  <c r="E934" i="3"/>
  <c r="A934" i="3" s="1"/>
  <c r="E935" i="3"/>
  <c r="A935" i="3" s="1"/>
  <c r="E936" i="3"/>
  <c r="A936" i="3" s="1"/>
  <c r="E937" i="3"/>
  <c r="A937" i="3" s="1"/>
  <c r="E938" i="3"/>
  <c r="A938" i="3" s="1"/>
  <c r="E939" i="3"/>
  <c r="A939" i="3" s="1"/>
  <c r="E940" i="3"/>
  <c r="A940" i="3" s="1"/>
  <c r="E941" i="3"/>
  <c r="A941" i="3" s="1"/>
  <c r="E942" i="3"/>
  <c r="A942" i="3" s="1"/>
  <c r="E943" i="3"/>
  <c r="A943" i="3" s="1"/>
  <c r="E944" i="3"/>
  <c r="A944" i="3" s="1"/>
  <c r="E945" i="3"/>
  <c r="A945" i="3" s="1"/>
  <c r="E946" i="3"/>
  <c r="A946" i="3" s="1"/>
  <c r="E947" i="3"/>
  <c r="A947" i="3" s="1"/>
  <c r="E948" i="3"/>
  <c r="A948" i="3" s="1"/>
  <c r="E949" i="3"/>
  <c r="A949" i="3" s="1"/>
  <c r="E950" i="3"/>
  <c r="A950" i="3" s="1"/>
  <c r="E951" i="3"/>
  <c r="A951" i="3" s="1"/>
  <c r="E952" i="3"/>
  <c r="A952" i="3" s="1"/>
  <c r="E953" i="3"/>
  <c r="A953" i="3" s="1"/>
  <c r="E954" i="3"/>
  <c r="A954" i="3" s="1"/>
  <c r="E955" i="3"/>
  <c r="A955" i="3" s="1"/>
  <c r="E956" i="3"/>
  <c r="A956" i="3" s="1"/>
  <c r="E957" i="3"/>
  <c r="A957" i="3" s="1"/>
  <c r="E958" i="3"/>
  <c r="A958" i="3" s="1"/>
  <c r="E959" i="3"/>
  <c r="A959" i="3" s="1"/>
  <c r="E960" i="3"/>
  <c r="A960" i="3" s="1"/>
  <c r="E961" i="3"/>
  <c r="A961" i="3" s="1"/>
  <c r="E962" i="3"/>
  <c r="A962" i="3" s="1"/>
  <c r="E963" i="3"/>
  <c r="A963" i="3" s="1"/>
  <c r="E964" i="3"/>
  <c r="A964" i="3" s="1"/>
  <c r="E965" i="3"/>
  <c r="A965" i="3" s="1"/>
  <c r="E966" i="3"/>
  <c r="A966" i="3" s="1"/>
  <c r="E967" i="3"/>
  <c r="A967" i="3" s="1"/>
  <c r="E968" i="3"/>
  <c r="A968" i="3" s="1"/>
  <c r="E969" i="3"/>
  <c r="A969" i="3" s="1"/>
  <c r="E970" i="3"/>
  <c r="A970" i="3" s="1"/>
  <c r="E971" i="3"/>
  <c r="A971" i="3" s="1"/>
  <c r="E972" i="3"/>
  <c r="A972" i="3" s="1"/>
  <c r="E973" i="3"/>
  <c r="A973" i="3" s="1"/>
  <c r="E974" i="3"/>
  <c r="A974" i="3" s="1"/>
  <c r="E975" i="3"/>
  <c r="A975" i="3" s="1"/>
  <c r="E976" i="3"/>
  <c r="A976" i="3" s="1"/>
  <c r="E977" i="3"/>
  <c r="A977" i="3" s="1"/>
  <c r="E978" i="3"/>
  <c r="A978" i="3" s="1"/>
  <c r="E979" i="3"/>
  <c r="A979" i="3" s="1"/>
  <c r="E980" i="3"/>
  <c r="A980" i="3" s="1"/>
  <c r="E981" i="3"/>
  <c r="A981" i="3" s="1"/>
  <c r="E982" i="3"/>
  <c r="A982" i="3" s="1"/>
  <c r="E983" i="3"/>
  <c r="A983" i="3" s="1"/>
  <c r="E984" i="3"/>
  <c r="A984" i="3" s="1"/>
  <c r="E985" i="3"/>
  <c r="A985" i="3" s="1"/>
  <c r="E986" i="3"/>
  <c r="A986" i="3" s="1"/>
  <c r="E987" i="3"/>
  <c r="A987" i="3" s="1"/>
  <c r="E988" i="3"/>
  <c r="A988" i="3" s="1"/>
  <c r="E989" i="3"/>
  <c r="A989" i="3" s="1"/>
  <c r="E990" i="3"/>
  <c r="A990" i="3" s="1"/>
  <c r="E991" i="3"/>
  <c r="A991" i="3" s="1"/>
  <c r="E992" i="3"/>
  <c r="A992" i="3" s="1"/>
  <c r="E993" i="3"/>
  <c r="A993" i="3" s="1"/>
  <c r="E994" i="3"/>
  <c r="A994" i="3" s="1"/>
  <c r="E995" i="3"/>
  <c r="A995" i="3" s="1"/>
  <c r="E996" i="3"/>
  <c r="A996" i="3" s="1"/>
  <c r="E997" i="3"/>
  <c r="A997" i="3" s="1"/>
  <c r="E998" i="3"/>
  <c r="A998" i="3" s="1"/>
  <c r="E999" i="3"/>
  <c r="A999" i="3" s="1"/>
  <c r="E1000" i="3"/>
  <c r="A1000" i="3" s="1"/>
  <c r="E1001" i="3"/>
  <c r="A1001" i="3" s="1"/>
  <c r="E1002" i="3"/>
  <c r="A1002" i="3" s="1"/>
  <c r="E1003" i="3"/>
  <c r="A1003" i="3" s="1"/>
  <c r="E1004" i="3"/>
  <c r="A1004" i="3" s="1"/>
  <c r="E1005" i="3"/>
  <c r="A1005" i="3" s="1"/>
  <c r="E1006" i="3"/>
  <c r="A1006" i="3" s="1"/>
  <c r="E1007" i="3"/>
  <c r="A1007" i="3" s="1"/>
  <c r="E1008" i="3"/>
  <c r="A1008" i="3" s="1"/>
  <c r="E1009" i="3"/>
  <c r="A1009" i="3" s="1"/>
  <c r="E1010" i="3"/>
  <c r="A1010" i="3" s="1"/>
  <c r="E1011" i="3"/>
  <c r="A1011" i="3" s="1"/>
  <c r="E1012" i="3"/>
  <c r="A1012" i="3" s="1"/>
  <c r="E1013" i="3"/>
  <c r="A1013" i="3" s="1"/>
  <c r="E1014" i="3"/>
  <c r="A1014" i="3" s="1"/>
  <c r="E1015" i="3"/>
  <c r="A1015" i="3" s="1"/>
  <c r="E1016" i="3"/>
  <c r="A1016" i="3" s="1"/>
  <c r="E1017" i="3"/>
  <c r="A1017" i="3" s="1"/>
  <c r="E1018" i="3"/>
  <c r="A1018" i="3" s="1"/>
  <c r="E1019" i="3"/>
  <c r="A1019" i="3" s="1"/>
  <c r="E1020" i="3"/>
  <c r="A1020" i="3" s="1"/>
  <c r="E1021" i="3"/>
  <c r="A1021" i="3" s="1"/>
  <c r="E1022" i="3"/>
  <c r="A1022" i="3" s="1"/>
  <c r="E1023" i="3"/>
  <c r="A1023" i="3" s="1"/>
  <c r="E1024" i="3"/>
  <c r="A1024" i="3" s="1"/>
  <c r="E1025" i="3"/>
  <c r="A1025" i="3" s="1"/>
  <c r="E1026" i="3"/>
  <c r="A1026" i="3" s="1"/>
  <c r="E1027" i="3"/>
  <c r="A1027" i="3" s="1"/>
  <c r="E1028" i="3"/>
  <c r="A1028" i="3" s="1"/>
  <c r="E1029" i="3"/>
  <c r="A1029" i="3" s="1"/>
  <c r="E1030" i="3"/>
  <c r="A1030" i="3" s="1"/>
  <c r="E1031" i="3"/>
  <c r="A1031" i="3" s="1"/>
  <c r="E1032" i="3"/>
  <c r="A1032" i="3" s="1"/>
  <c r="E1033" i="3"/>
  <c r="A1033" i="3" s="1"/>
  <c r="E1034" i="3"/>
  <c r="A1034" i="3" s="1"/>
  <c r="E1035" i="3"/>
  <c r="A1035" i="3" s="1"/>
  <c r="E1036" i="3"/>
  <c r="A1036" i="3" s="1"/>
  <c r="E1037" i="3"/>
  <c r="A1037" i="3" s="1"/>
  <c r="E1038" i="3"/>
  <c r="A1038" i="3" s="1"/>
  <c r="E1039" i="3"/>
  <c r="A1039" i="3" s="1"/>
  <c r="E1040" i="3"/>
  <c r="A1040" i="3" s="1"/>
  <c r="E1041" i="3"/>
  <c r="A1041" i="3" s="1"/>
  <c r="E1042" i="3"/>
  <c r="A1042" i="3" s="1"/>
  <c r="E1043" i="3"/>
  <c r="A1043" i="3" s="1"/>
  <c r="E1044" i="3"/>
  <c r="A1044" i="3" s="1"/>
  <c r="E1045" i="3"/>
  <c r="A1045" i="3" s="1"/>
  <c r="E1046" i="3"/>
  <c r="A1046" i="3" s="1"/>
  <c r="E1047" i="3"/>
  <c r="A1047" i="3" s="1"/>
  <c r="E1048" i="3"/>
  <c r="A1048" i="3" s="1"/>
  <c r="E1049" i="3"/>
  <c r="A1049" i="3" s="1"/>
  <c r="E1050" i="3"/>
  <c r="A1050" i="3" s="1"/>
  <c r="E1051" i="3"/>
  <c r="A1051" i="3" s="1"/>
  <c r="E1052" i="3"/>
  <c r="A1052" i="3" s="1"/>
  <c r="E1053" i="3"/>
  <c r="A1053" i="3" s="1"/>
  <c r="E1054" i="3"/>
  <c r="A1054" i="3" s="1"/>
  <c r="E1055" i="3"/>
  <c r="A1055" i="3" s="1"/>
  <c r="E1056" i="3"/>
  <c r="A1056" i="3" s="1"/>
  <c r="E1057" i="3"/>
  <c r="A1057" i="3" s="1"/>
  <c r="E1058" i="3"/>
  <c r="A1058" i="3" s="1"/>
  <c r="E1059" i="3"/>
  <c r="A1059" i="3" s="1"/>
  <c r="E1060" i="3"/>
  <c r="A1060" i="3" s="1"/>
  <c r="E1061" i="3"/>
  <c r="A1061" i="3" s="1"/>
  <c r="E1062" i="3"/>
  <c r="A1062" i="3" s="1"/>
  <c r="E1063" i="3"/>
  <c r="A1063" i="3" s="1"/>
  <c r="E1064" i="3"/>
  <c r="A1064" i="3" s="1"/>
  <c r="E1065" i="3"/>
  <c r="A1065" i="3" s="1"/>
  <c r="E1066" i="3"/>
  <c r="A1066" i="3" s="1"/>
  <c r="E1067" i="3"/>
  <c r="A1067" i="3" s="1"/>
  <c r="E1068" i="3"/>
  <c r="A1068" i="3" s="1"/>
  <c r="E1069" i="3"/>
  <c r="A1069" i="3" s="1"/>
  <c r="E1070" i="3"/>
  <c r="A1070" i="3" s="1"/>
  <c r="E1071" i="3"/>
  <c r="A1071" i="3" s="1"/>
  <c r="E1072" i="3"/>
  <c r="A1072" i="3" s="1"/>
  <c r="E1073" i="3"/>
  <c r="A1073" i="3" s="1"/>
  <c r="E1074" i="3"/>
  <c r="A1074" i="3" s="1"/>
  <c r="E1075" i="3"/>
  <c r="A1075" i="3" s="1"/>
  <c r="E1076" i="3"/>
  <c r="A1076" i="3" s="1"/>
  <c r="E1077" i="3"/>
  <c r="A1077" i="3" s="1"/>
  <c r="E1078" i="3"/>
  <c r="A1078" i="3" s="1"/>
  <c r="E1079" i="3"/>
  <c r="A1079" i="3" s="1"/>
  <c r="E1080" i="3"/>
  <c r="A1080" i="3" s="1"/>
  <c r="E1081" i="3"/>
  <c r="A1081" i="3" s="1"/>
  <c r="E1082" i="3"/>
  <c r="A1082" i="3" s="1"/>
  <c r="E1083" i="3"/>
  <c r="A1083" i="3" s="1"/>
  <c r="E1084" i="3"/>
  <c r="A1084" i="3" s="1"/>
  <c r="E1085" i="3"/>
  <c r="A1085" i="3" s="1"/>
  <c r="E1086" i="3"/>
  <c r="A1086" i="3" s="1"/>
  <c r="E1087" i="3"/>
  <c r="A1087" i="3" s="1"/>
  <c r="E1088" i="3"/>
  <c r="A1088" i="3" s="1"/>
  <c r="E1089" i="3"/>
  <c r="A1089" i="3" s="1"/>
  <c r="E1090" i="3"/>
  <c r="A1090" i="3" s="1"/>
  <c r="E1091" i="3"/>
  <c r="A1091" i="3" s="1"/>
  <c r="E1092" i="3"/>
  <c r="A1092" i="3" s="1"/>
  <c r="E1093" i="3"/>
  <c r="A1093" i="3" s="1"/>
  <c r="E1094" i="3"/>
  <c r="A1094" i="3" s="1"/>
  <c r="E1095" i="3"/>
  <c r="A1095" i="3" s="1"/>
  <c r="E1096" i="3"/>
  <c r="A1096" i="3" s="1"/>
  <c r="E1097" i="3"/>
  <c r="A1097" i="3" s="1"/>
  <c r="E1098" i="3"/>
  <c r="A1098" i="3" s="1"/>
  <c r="E1099" i="3"/>
  <c r="A1099" i="3" s="1"/>
  <c r="E1100" i="3"/>
  <c r="A1100" i="3" s="1"/>
  <c r="E1101" i="3"/>
  <c r="A1101" i="3" s="1"/>
  <c r="E1102" i="3"/>
  <c r="A1102" i="3" s="1"/>
  <c r="E1103" i="3"/>
  <c r="A1103" i="3" s="1"/>
  <c r="E1104" i="3"/>
  <c r="A1104" i="3" s="1"/>
  <c r="E1105" i="3"/>
  <c r="A1105" i="3" s="1"/>
  <c r="E1106" i="3"/>
  <c r="A1106" i="3" s="1"/>
  <c r="E1107" i="3"/>
  <c r="A1107" i="3" s="1"/>
  <c r="E1108" i="3"/>
  <c r="A1108" i="3" s="1"/>
  <c r="E1109" i="3"/>
  <c r="A1109" i="3" s="1"/>
  <c r="E1110" i="3"/>
  <c r="A1110" i="3" s="1"/>
  <c r="E1111" i="3"/>
  <c r="A1111" i="3" s="1"/>
  <c r="E1112" i="3"/>
  <c r="A1112" i="3" s="1"/>
  <c r="E1113" i="3"/>
  <c r="A1113" i="3" s="1"/>
  <c r="E1114" i="3"/>
  <c r="A1114" i="3" s="1"/>
  <c r="E1115" i="3"/>
  <c r="A1115" i="3" s="1"/>
  <c r="E1116" i="3"/>
  <c r="A1116" i="3" s="1"/>
  <c r="E1117" i="3"/>
  <c r="A1117" i="3" s="1"/>
  <c r="E1118" i="3"/>
  <c r="A1118" i="3" s="1"/>
  <c r="E1119" i="3"/>
  <c r="A1119" i="3" s="1"/>
  <c r="E1120" i="3"/>
  <c r="A1120" i="3" s="1"/>
  <c r="E1121" i="3"/>
  <c r="A1121" i="3" s="1"/>
  <c r="E1122" i="3"/>
  <c r="A1122" i="3" s="1"/>
  <c r="E1123" i="3"/>
  <c r="A1123" i="3" s="1"/>
  <c r="E1124" i="3"/>
  <c r="A1124" i="3" s="1"/>
  <c r="E1125" i="3"/>
  <c r="A1125" i="3" s="1"/>
  <c r="E1126" i="3"/>
  <c r="A1126" i="3" s="1"/>
  <c r="E1127" i="3"/>
  <c r="A1127" i="3" s="1"/>
  <c r="E1128" i="3"/>
  <c r="A1128" i="3" s="1"/>
  <c r="E1129" i="3"/>
  <c r="A1129" i="3" s="1"/>
  <c r="E1130" i="3"/>
  <c r="A1130" i="3" s="1"/>
  <c r="E1131" i="3"/>
  <c r="A1131" i="3" s="1"/>
  <c r="E1132" i="3"/>
  <c r="A1132" i="3" s="1"/>
  <c r="E1133" i="3"/>
  <c r="A1133" i="3" s="1"/>
  <c r="E1134" i="3"/>
  <c r="A1134" i="3" s="1"/>
  <c r="E1135" i="3"/>
  <c r="A1135" i="3" s="1"/>
  <c r="E1136" i="3"/>
  <c r="A1136" i="3" s="1"/>
  <c r="E1137" i="3"/>
  <c r="A1137" i="3" s="1"/>
  <c r="E1138" i="3"/>
  <c r="A1138" i="3" s="1"/>
  <c r="E1139" i="3"/>
  <c r="A1139" i="3" s="1"/>
  <c r="E1140" i="3"/>
  <c r="A1140" i="3" s="1"/>
  <c r="E1141" i="3"/>
  <c r="A1141" i="3" s="1"/>
  <c r="E1142" i="3"/>
  <c r="A1142" i="3" s="1"/>
  <c r="E1143" i="3"/>
  <c r="A1143" i="3" s="1"/>
  <c r="E1144" i="3"/>
  <c r="A1144" i="3" s="1"/>
  <c r="E1145" i="3"/>
  <c r="A1145" i="3" s="1"/>
  <c r="E1146" i="3"/>
  <c r="A1146" i="3" s="1"/>
  <c r="E1147" i="3"/>
  <c r="A1147" i="3" s="1"/>
  <c r="E1148" i="3"/>
  <c r="A1148" i="3" s="1"/>
  <c r="E1149" i="3"/>
  <c r="A1149" i="3" s="1"/>
  <c r="E1150" i="3"/>
  <c r="A1150" i="3" s="1"/>
  <c r="E1151" i="3"/>
  <c r="A1151" i="3" s="1"/>
  <c r="E1152" i="3"/>
  <c r="A1152" i="3" s="1"/>
  <c r="E1153" i="3"/>
  <c r="A1153" i="3" s="1"/>
  <c r="E1154" i="3"/>
  <c r="A1154" i="3" s="1"/>
  <c r="E1155" i="3"/>
  <c r="A1155" i="3" s="1"/>
  <c r="E1156" i="3"/>
  <c r="A1156" i="3" s="1"/>
  <c r="E1157" i="3"/>
  <c r="A1157" i="3" s="1"/>
  <c r="E1158" i="3"/>
  <c r="A1158" i="3" s="1"/>
  <c r="E1159" i="3"/>
  <c r="A1159" i="3" s="1"/>
  <c r="E1160" i="3"/>
  <c r="A1160" i="3" s="1"/>
  <c r="E1161" i="3"/>
  <c r="A1161" i="3" s="1"/>
  <c r="E1162" i="3"/>
  <c r="A1162" i="3" s="1"/>
  <c r="E1163" i="3"/>
  <c r="A1163" i="3" s="1"/>
  <c r="E1164" i="3"/>
  <c r="A1164" i="3" s="1"/>
  <c r="E1165" i="3"/>
  <c r="A1165" i="3" s="1"/>
  <c r="E1166" i="3"/>
  <c r="A1166" i="3" s="1"/>
  <c r="E1167" i="3"/>
  <c r="A1167" i="3" s="1"/>
  <c r="E1168" i="3"/>
  <c r="A1168" i="3" s="1"/>
  <c r="E1169" i="3"/>
  <c r="A1169" i="3" s="1"/>
  <c r="E1170" i="3"/>
  <c r="A1170" i="3" s="1"/>
  <c r="E1171" i="3"/>
  <c r="A1171" i="3" s="1"/>
  <c r="E1172" i="3"/>
  <c r="A1172" i="3" s="1"/>
  <c r="E1173" i="3"/>
  <c r="A1173" i="3" s="1"/>
  <c r="E1174" i="3"/>
  <c r="A1174" i="3" s="1"/>
  <c r="E1175" i="3"/>
  <c r="A1175" i="3" s="1"/>
  <c r="E1176" i="3"/>
  <c r="A1176" i="3" s="1"/>
  <c r="E1177" i="3"/>
  <c r="A1177" i="3" s="1"/>
  <c r="E1178" i="3"/>
  <c r="A1178" i="3" s="1"/>
  <c r="E1179" i="3"/>
  <c r="A1179" i="3" s="1"/>
  <c r="E1180" i="3"/>
  <c r="A1180" i="3" s="1"/>
  <c r="E1181" i="3"/>
  <c r="A1181" i="3" s="1"/>
  <c r="E1182" i="3"/>
  <c r="A1182" i="3" s="1"/>
  <c r="E1183" i="3"/>
  <c r="A1183" i="3" s="1"/>
  <c r="E1184" i="3"/>
  <c r="A1184" i="3" s="1"/>
  <c r="E1185" i="3"/>
  <c r="A1185" i="3" s="1"/>
  <c r="E1186" i="3"/>
  <c r="A1186" i="3" s="1"/>
  <c r="E1187" i="3"/>
  <c r="A1187" i="3" s="1"/>
  <c r="E1188" i="3"/>
  <c r="A1188" i="3" s="1"/>
  <c r="E1189" i="3"/>
  <c r="A1189" i="3" s="1"/>
  <c r="E1190" i="3"/>
  <c r="A1190" i="3" s="1"/>
  <c r="E1191" i="3"/>
  <c r="A1191" i="3" s="1"/>
  <c r="E1192" i="3"/>
  <c r="A1192" i="3" s="1"/>
  <c r="E1193" i="3"/>
  <c r="A1193" i="3" s="1"/>
  <c r="E1194" i="3"/>
  <c r="A1194" i="3" s="1"/>
  <c r="E1195" i="3"/>
  <c r="A1195" i="3" s="1"/>
  <c r="E1196" i="3"/>
  <c r="A1196" i="3" s="1"/>
  <c r="E1197" i="3"/>
  <c r="A1197" i="3" s="1"/>
  <c r="E1198" i="3"/>
  <c r="A1198" i="3" s="1"/>
  <c r="E1199" i="3"/>
  <c r="A1199" i="3" s="1"/>
  <c r="E1200" i="3"/>
  <c r="A1200" i="3" s="1"/>
  <c r="E1201" i="3"/>
  <c r="A1201" i="3" s="1"/>
  <c r="E1202" i="3"/>
  <c r="A1202" i="3" s="1"/>
  <c r="E1203" i="3"/>
  <c r="A1203" i="3" s="1"/>
  <c r="E1204" i="3"/>
  <c r="A1204" i="3" s="1"/>
  <c r="E1205" i="3"/>
  <c r="A1205" i="3" s="1"/>
  <c r="E1206" i="3"/>
  <c r="A1206" i="3" s="1"/>
  <c r="E1207" i="3"/>
  <c r="A1207" i="3" s="1"/>
  <c r="E1208" i="3"/>
  <c r="A1208" i="3" s="1"/>
  <c r="E1209" i="3"/>
  <c r="A1209" i="3" s="1"/>
  <c r="E1210" i="3"/>
  <c r="A1210" i="3" s="1"/>
  <c r="E1211" i="3"/>
  <c r="A1211" i="3" s="1"/>
  <c r="E1212" i="3"/>
  <c r="A1212" i="3" s="1"/>
  <c r="E1213" i="3"/>
  <c r="A1213" i="3" s="1"/>
  <c r="E1214" i="3"/>
  <c r="A1214" i="3" s="1"/>
  <c r="E1215" i="3"/>
  <c r="A1215" i="3" s="1"/>
  <c r="E1216" i="3"/>
  <c r="A1216" i="3" s="1"/>
  <c r="E1217" i="3"/>
  <c r="A1217" i="3" s="1"/>
  <c r="E1218" i="3"/>
  <c r="A1218" i="3" s="1"/>
  <c r="E1219" i="3"/>
  <c r="A1219" i="3" s="1"/>
  <c r="E1220" i="3"/>
  <c r="A1220" i="3" s="1"/>
  <c r="E1221" i="3"/>
  <c r="A1221" i="3" s="1"/>
  <c r="E1222" i="3"/>
  <c r="A1222" i="3" s="1"/>
  <c r="E1223" i="3"/>
  <c r="A1223" i="3" s="1"/>
  <c r="E1224" i="3"/>
  <c r="A1224" i="3" s="1"/>
  <c r="E1225" i="3"/>
  <c r="A1225" i="3" s="1"/>
  <c r="E1226" i="3"/>
  <c r="A1226" i="3" s="1"/>
  <c r="E1227" i="3"/>
  <c r="A1227" i="3" s="1"/>
  <c r="E1228" i="3"/>
  <c r="A1228" i="3" s="1"/>
  <c r="E1229" i="3"/>
  <c r="A1229" i="3" s="1"/>
  <c r="E1230" i="3"/>
  <c r="A1230" i="3" s="1"/>
  <c r="E1231" i="3"/>
  <c r="A1231" i="3" s="1"/>
  <c r="E1232" i="3"/>
  <c r="A1232" i="3" s="1"/>
  <c r="E1233" i="3"/>
  <c r="A1233" i="3" s="1"/>
  <c r="E1234" i="3"/>
  <c r="A1234" i="3" s="1"/>
  <c r="E1235" i="3"/>
  <c r="A1235" i="3" s="1"/>
  <c r="E1236" i="3"/>
  <c r="A1236" i="3" s="1"/>
  <c r="E1237" i="3"/>
  <c r="A1237" i="3" s="1"/>
  <c r="E1238" i="3"/>
  <c r="A1238" i="3" s="1"/>
  <c r="E1239" i="3"/>
  <c r="A1239" i="3" s="1"/>
  <c r="E1240" i="3"/>
  <c r="A1240" i="3" s="1"/>
  <c r="E1241" i="3"/>
  <c r="A1241" i="3" s="1"/>
  <c r="E1242" i="3"/>
  <c r="A1242" i="3" s="1"/>
  <c r="E1243" i="3"/>
  <c r="A1243" i="3" s="1"/>
  <c r="E1244" i="3"/>
  <c r="A1244" i="3" s="1"/>
  <c r="E1245" i="3"/>
  <c r="A1245" i="3" s="1"/>
  <c r="E1246" i="3"/>
  <c r="A1246" i="3" s="1"/>
  <c r="E1247" i="3"/>
  <c r="A1247" i="3" s="1"/>
  <c r="E1248" i="3"/>
  <c r="A1248" i="3" s="1"/>
  <c r="E1249" i="3"/>
  <c r="A1249" i="3" s="1"/>
  <c r="E1250" i="3"/>
  <c r="A1250" i="3" s="1"/>
  <c r="E1251" i="3"/>
  <c r="A1251" i="3" s="1"/>
  <c r="E1252" i="3"/>
  <c r="A1252" i="3" s="1"/>
  <c r="E1253" i="3"/>
  <c r="A1253" i="3" s="1"/>
  <c r="E1254" i="3"/>
  <c r="A1254" i="3" s="1"/>
  <c r="E1255" i="3"/>
  <c r="A1255" i="3" s="1"/>
  <c r="E1256" i="3"/>
  <c r="A1256" i="3" s="1"/>
  <c r="E1257" i="3"/>
  <c r="A1257" i="3" s="1"/>
  <c r="E1258" i="3"/>
  <c r="A1258" i="3" s="1"/>
  <c r="E1259" i="3"/>
  <c r="A1259" i="3" s="1"/>
  <c r="E1260" i="3"/>
  <c r="A1260" i="3" s="1"/>
  <c r="E1261" i="3"/>
  <c r="A1261" i="3" s="1"/>
  <c r="E1262" i="3"/>
  <c r="A1262" i="3" s="1"/>
  <c r="E1263" i="3"/>
  <c r="A1263" i="3" s="1"/>
  <c r="E1264" i="3"/>
  <c r="A1264" i="3" s="1"/>
  <c r="E1265" i="3"/>
  <c r="A1265" i="3" s="1"/>
  <c r="E1266" i="3"/>
  <c r="A1266" i="3" s="1"/>
  <c r="E1267" i="3"/>
  <c r="A1267" i="3" s="1"/>
  <c r="E1268" i="3"/>
  <c r="A1268" i="3" s="1"/>
  <c r="E1269" i="3"/>
  <c r="A1269" i="3" s="1"/>
  <c r="E1270" i="3"/>
  <c r="A1270" i="3" s="1"/>
  <c r="E1271" i="3"/>
  <c r="A1271" i="3" s="1"/>
  <c r="E1272" i="3"/>
  <c r="A1272" i="3" s="1"/>
  <c r="E1273" i="3"/>
  <c r="A1273" i="3" s="1"/>
  <c r="E1274" i="3"/>
  <c r="A1274" i="3" s="1"/>
  <c r="E1275" i="3"/>
  <c r="A1275" i="3" s="1"/>
  <c r="E1276" i="3"/>
  <c r="A1276" i="3" s="1"/>
  <c r="E1277" i="3"/>
  <c r="A1277" i="3" s="1"/>
  <c r="E1278" i="3"/>
  <c r="A1278" i="3" s="1"/>
  <c r="E1279" i="3"/>
  <c r="A1279" i="3" s="1"/>
  <c r="E1280" i="3"/>
  <c r="A1280" i="3" s="1"/>
  <c r="E1281" i="3"/>
  <c r="A1281" i="3" s="1"/>
  <c r="E1282" i="3"/>
  <c r="A1282" i="3" s="1"/>
  <c r="E1283" i="3"/>
  <c r="A1283" i="3" s="1"/>
  <c r="E1284" i="3"/>
  <c r="A1284" i="3" s="1"/>
  <c r="E1285" i="3"/>
  <c r="A1285" i="3" s="1"/>
  <c r="E1286" i="3"/>
  <c r="A1286" i="3" s="1"/>
  <c r="E1287" i="3"/>
  <c r="A1287" i="3" s="1"/>
  <c r="E1288" i="3"/>
  <c r="A1288" i="3" s="1"/>
  <c r="E1289" i="3"/>
  <c r="A1289" i="3" s="1"/>
  <c r="E1290" i="3"/>
  <c r="A1290" i="3" s="1"/>
  <c r="E1291" i="3"/>
  <c r="A1291" i="3" s="1"/>
  <c r="E1292" i="3"/>
  <c r="A1292" i="3" s="1"/>
  <c r="E1293" i="3"/>
  <c r="A1293" i="3" s="1"/>
  <c r="E1294" i="3"/>
  <c r="A1294" i="3" s="1"/>
  <c r="E1295" i="3"/>
  <c r="A1295" i="3" s="1"/>
  <c r="E1296" i="3"/>
  <c r="A1296" i="3" s="1"/>
  <c r="E1297" i="3"/>
  <c r="A1297" i="3" s="1"/>
  <c r="E1298" i="3"/>
  <c r="A1298" i="3" s="1"/>
  <c r="E1299" i="3"/>
  <c r="A1299" i="3" s="1"/>
  <c r="E1300" i="3"/>
  <c r="A1300" i="3" s="1"/>
  <c r="E1301" i="3"/>
  <c r="A1301" i="3" s="1"/>
  <c r="E1302" i="3"/>
  <c r="A1302" i="3" s="1"/>
  <c r="E1303" i="3"/>
  <c r="A1303" i="3" s="1"/>
  <c r="E1304" i="3"/>
  <c r="A1304" i="3" s="1"/>
  <c r="E1305" i="3"/>
  <c r="A1305" i="3" s="1"/>
  <c r="E1306" i="3"/>
  <c r="A1306" i="3" s="1"/>
  <c r="E1307" i="3"/>
  <c r="A1307" i="3" s="1"/>
  <c r="E1308" i="3"/>
  <c r="A1308" i="3" s="1"/>
  <c r="E1309" i="3"/>
  <c r="A1309" i="3" s="1"/>
  <c r="E1310" i="3"/>
  <c r="A1310" i="3" s="1"/>
  <c r="E1311" i="3"/>
  <c r="A1311" i="3" s="1"/>
  <c r="E1312" i="3"/>
  <c r="A1312" i="3" s="1"/>
  <c r="E1313" i="3"/>
  <c r="A1313" i="3" s="1"/>
  <c r="E1314" i="3"/>
  <c r="A1314" i="3" s="1"/>
  <c r="E1315" i="3"/>
  <c r="A1315" i="3" s="1"/>
  <c r="E1316" i="3"/>
  <c r="A1316" i="3" s="1"/>
  <c r="E1317" i="3"/>
  <c r="A1317" i="3" s="1"/>
  <c r="E1318" i="3"/>
  <c r="A1318" i="3" s="1"/>
  <c r="E1319" i="3"/>
  <c r="A1319" i="3" s="1"/>
  <c r="E1320" i="3"/>
  <c r="A1320" i="3" s="1"/>
  <c r="E1321" i="3"/>
  <c r="A1321" i="3" s="1"/>
  <c r="E1322" i="3"/>
  <c r="A1322" i="3" s="1"/>
  <c r="E1323" i="3"/>
  <c r="A1323" i="3" s="1"/>
  <c r="E1324" i="3"/>
  <c r="A1324" i="3" s="1"/>
  <c r="E1325" i="3"/>
  <c r="A1325" i="3" s="1"/>
  <c r="E1326" i="3"/>
  <c r="A1326" i="3" s="1"/>
  <c r="E1327" i="3"/>
  <c r="A1327" i="3" s="1"/>
  <c r="E1328" i="3"/>
  <c r="A1328" i="3" s="1"/>
  <c r="E1329" i="3"/>
  <c r="A1329" i="3" s="1"/>
  <c r="E1330" i="3"/>
  <c r="A1330" i="3" s="1"/>
  <c r="E1331" i="3"/>
  <c r="A1331" i="3" s="1"/>
  <c r="E1332" i="3"/>
  <c r="A1332" i="3" s="1"/>
  <c r="E1333" i="3"/>
  <c r="A1333" i="3" s="1"/>
  <c r="E1334" i="3"/>
  <c r="A1334" i="3" s="1"/>
  <c r="E1335" i="3"/>
  <c r="A1335" i="3" s="1"/>
  <c r="E1336" i="3"/>
  <c r="A1336" i="3" s="1"/>
  <c r="E1337" i="3"/>
  <c r="A1337" i="3" s="1"/>
  <c r="E1338" i="3"/>
  <c r="A1338" i="3" s="1"/>
  <c r="E1339" i="3"/>
  <c r="A1339" i="3" s="1"/>
  <c r="E1340" i="3"/>
  <c r="A1340" i="3" s="1"/>
  <c r="E1341" i="3"/>
  <c r="A1341" i="3" s="1"/>
  <c r="E1342" i="3"/>
  <c r="A1342" i="3" s="1"/>
  <c r="E1343" i="3"/>
  <c r="A1343" i="3" s="1"/>
  <c r="E1344" i="3"/>
  <c r="A1344" i="3" s="1"/>
  <c r="E1345" i="3"/>
  <c r="A1345" i="3" s="1"/>
  <c r="E1346" i="3"/>
  <c r="A1346" i="3" s="1"/>
  <c r="E1347" i="3"/>
  <c r="A1347" i="3" s="1"/>
  <c r="E1348" i="3"/>
  <c r="A1348" i="3" s="1"/>
  <c r="E1349" i="3"/>
  <c r="A1349" i="3" s="1"/>
  <c r="E1350" i="3"/>
  <c r="A1350" i="3" s="1"/>
  <c r="E1351" i="3"/>
  <c r="A1351" i="3" s="1"/>
  <c r="E1352" i="3"/>
  <c r="A1352" i="3" s="1"/>
  <c r="E1353" i="3"/>
  <c r="A1353" i="3" s="1"/>
  <c r="E1354" i="3"/>
  <c r="A1354" i="3" s="1"/>
  <c r="E1355" i="3"/>
  <c r="A1355" i="3" s="1"/>
  <c r="E1356" i="3"/>
  <c r="A1356" i="3" s="1"/>
  <c r="E1357" i="3"/>
  <c r="A1357" i="3" s="1"/>
  <c r="E1358" i="3"/>
  <c r="A1358" i="3" s="1"/>
  <c r="E1359" i="3"/>
  <c r="A1359" i="3" s="1"/>
  <c r="E1360" i="3"/>
  <c r="A1360" i="3" s="1"/>
  <c r="E1361" i="3"/>
  <c r="A1361" i="3" s="1"/>
  <c r="E1362" i="3"/>
  <c r="A1362" i="3" s="1"/>
  <c r="E1363" i="3"/>
  <c r="A1363" i="3" s="1"/>
  <c r="E1364" i="3"/>
  <c r="A1364" i="3" s="1"/>
  <c r="E1365" i="3"/>
  <c r="A1365" i="3" s="1"/>
  <c r="E1366" i="3"/>
  <c r="A1366" i="3" s="1"/>
  <c r="E1367" i="3"/>
  <c r="A1367" i="3" s="1"/>
  <c r="E1368" i="3"/>
  <c r="A1368" i="3" s="1"/>
  <c r="E1369" i="3"/>
  <c r="A1369" i="3" s="1"/>
  <c r="E1370" i="3"/>
  <c r="A1370" i="3" s="1"/>
  <c r="E1371" i="3"/>
  <c r="A1371" i="3" s="1"/>
  <c r="E1372" i="3"/>
  <c r="A1372" i="3" s="1"/>
  <c r="E1373" i="3"/>
  <c r="A1373" i="3" s="1"/>
  <c r="E1374" i="3"/>
  <c r="A1374" i="3" s="1"/>
  <c r="E1375" i="3"/>
  <c r="A1375" i="3" s="1"/>
  <c r="E1376" i="3"/>
  <c r="A1376" i="3" s="1"/>
  <c r="E1377" i="3"/>
  <c r="A1377" i="3" s="1"/>
  <c r="E1378" i="3"/>
  <c r="A1378" i="3" s="1"/>
  <c r="E1379" i="3"/>
  <c r="A1379" i="3" s="1"/>
  <c r="E1380" i="3"/>
  <c r="A1380" i="3" s="1"/>
  <c r="E1381" i="3"/>
  <c r="A1381" i="3" s="1"/>
  <c r="E1382" i="3"/>
  <c r="A1382" i="3" s="1"/>
  <c r="E1383" i="3"/>
  <c r="A1383" i="3" s="1"/>
  <c r="E1384" i="3"/>
  <c r="A1384" i="3" s="1"/>
  <c r="E1385" i="3"/>
  <c r="A1385" i="3" s="1"/>
  <c r="E1386" i="3"/>
  <c r="A1386" i="3" s="1"/>
  <c r="E1387" i="3"/>
  <c r="A1387" i="3" s="1"/>
  <c r="E1388" i="3"/>
  <c r="A1388" i="3" s="1"/>
  <c r="E1389" i="3"/>
  <c r="A1389" i="3" s="1"/>
  <c r="E1390" i="3"/>
  <c r="A1390" i="3" s="1"/>
  <c r="E1391" i="3"/>
  <c r="A1391" i="3" s="1"/>
  <c r="E1392" i="3"/>
  <c r="A1392" i="3" s="1"/>
  <c r="E1393" i="3"/>
  <c r="A1393" i="3" s="1"/>
  <c r="E1394" i="3"/>
  <c r="A1394" i="3" s="1"/>
  <c r="E1395" i="3"/>
  <c r="A1395" i="3" s="1"/>
  <c r="E1396" i="3"/>
  <c r="A1396" i="3" s="1"/>
  <c r="E1397" i="3"/>
  <c r="A1397" i="3" s="1"/>
  <c r="E1398" i="3"/>
  <c r="A1398" i="3" s="1"/>
  <c r="E1399" i="3"/>
  <c r="A1399" i="3" s="1"/>
  <c r="E1400" i="3"/>
  <c r="A1400" i="3" s="1"/>
  <c r="E1401" i="3"/>
  <c r="A1401" i="3" s="1"/>
  <c r="E1402" i="3"/>
  <c r="A1402" i="3" s="1"/>
  <c r="E1403" i="3"/>
  <c r="A1403" i="3" s="1"/>
  <c r="E1404" i="3"/>
  <c r="A1404" i="3" s="1"/>
  <c r="E1405" i="3"/>
  <c r="A1405" i="3" s="1"/>
  <c r="E1406" i="3"/>
  <c r="A1406" i="3" s="1"/>
  <c r="E1407" i="3"/>
  <c r="A1407" i="3" s="1"/>
  <c r="E1408" i="3"/>
  <c r="A1408" i="3" s="1"/>
  <c r="E1409" i="3"/>
  <c r="A1409" i="3" s="1"/>
  <c r="E1410" i="3"/>
  <c r="A1410" i="3" s="1"/>
  <c r="E1411" i="3"/>
  <c r="A1411" i="3" s="1"/>
  <c r="E1412" i="3"/>
  <c r="A1412" i="3" s="1"/>
  <c r="E1413" i="3"/>
  <c r="A1413" i="3" s="1"/>
  <c r="E1414" i="3"/>
  <c r="A1414" i="3" s="1"/>
  <c r="E1415" i="3"/>
  <c r="A1415" i="3" s="1"/>
  <c r="E1416" i="3"/>
  <c r="A1416" i="3" s="1"/>
  <c r="E1417" i="3"/>
  <c r="A1417" i="3" s="1"/>
  <c r="E1418" i="3"/>
  <c r="A1418" i="3" s="1"/>
  <c r="E1419" i="3"/>
  <c r="A1419" i="3" s="1"/>
  <c r="E1420" i="3"/>
  <c r="A1420" i="3" s="1"/>
  <c r="E1421" i="3"/>
  <c r="A1421" i="3" s="1"/>
  <c r="E1422" i="3"/>
  <c r="A1422" i="3" s="1"/>
  <c r="E1423" i="3"/>
  <c r="A1423" i="3" s="1"/>
  <c r="E1424" i="3"/>
  <c r="A1424" i="3" s="1"/>
  <c r="E1425" i="3"/>
  <c r="A1425" i="3" s="1"/>
  <c r="E1426" i="3"/>
  <c r="A1426" i="3" s="1"/>
  <c r="E1427" i="3"/>
  <c r="A1427" i="3" s="1"/>
  <c r="E1428" i="3"/>
  <c r="A1428" i="3" s="1"/>
  <c r="E1429" i="3"/>
  <c r="A1429" i="3" s="1"/>
  <c r="E1430" i="3"/>
  <c r="A1430" i="3" s="1"/>
  <c r="E1431" i="3"/>
  <c r="A1431" i="3" s="1"/>
  <c r="E1432" i="3"/>
  <c r="A1432" i="3" s="1"/>
  <c r="E1433" i="3"/>
  <c r="A1433" i="3" s="1"/>
  <c r="E1434" i="3"/>
  <c r="A1434" i="3" s="1"/>
  <c r="E1435" i="3"/>
  <c r="A1435" i="3" s="1"/>
  <c r="E1436" i="3"/>
  <c r="A1436" i="3" s="1"/>
  <c r="E1437" i="3"/>
  <c r="A1437" i="3" s="1"/>
  <c r="E1438" i="3"/>
  <c r="A1438" i="3" s="1"/>
  <c r="E1439" i="3"/>
  <c r="A1439" i="3" s="1"/>
  <c r="E1440" i="3"/>
  <c r="A1440" i="3" s="1"/>
  <c r="E1441" i="3"/>
  <c r="A1441" i="3" s="1"/>
  <c r="E1442" i="3"/>
  <c r="A1442" i="3" s="1"/>
  <c r="E1443" i="3"/>
  <c r="A1443" i="3" s="1"/>
  <c r="E1444" i="3"/>
  <c r="A1444" i="3" s="1"/>
  <c r="E1445" i="3"/>
  <c r="A1445" i="3" s="1"/>
  <c r="E1446" i="3"/>
  <c r="A1446" i="3" s="1"/>
  <c r="E1447" i="3"/>
  <c r="A1447" i="3" s="1"/>
  <c r="E1448" i="3"/>
  <c r="A1448" i="3" s="1"/>
  <c r="E1449" i="3"/>
  <c r="A1449" i="3" s="1"/>
  <c r="E1450" i="3"/>
  <c r="A1450" i="3" s="1"/>
  <c r="E1451" i="3"/>
  <c r="A1451" i="3" s="1"/>
  <c r="E1452" i="3"/>
  <c r="A1452" i="3" s="1"/>
  <c r="E1453" i="3"/>
  <c r="A1453" i="3" s="1"/>
  <c r="E1454" i="3"/>
  <c r="A1454" i="3" s="1"/>
  <c r="E1455" i="3"/>
  <c r="A1455" i="3" s="1"/>
  <c r="E1456" i="3"/>
  <c r="A1456" i="3" s="1"/>
  <c r="E1457" i="3"/>
  <c r="A1457" i="3" s="1"/>
  <c r="E1458" i="3"/>
  <c r="A1458" i="3" s="1"/>
  <c r="E1459" i="3"/>
  <c r="A1459" i="3" s="1"/>
  <c r="E1460" i="3"/>
  <c r="A1460" i="3" s="1"/>
  <c r="E1461" i="3"/>
  <c r="A1461" i="3" s="1"/>
  <c r="E1462" i="3"/>
  <c r="A1462" i="3" s="1"/>
  <c r="E1463" i="3"/>
  <c r="A1463" i="3" s="1"/>
  <c r="E1464" i="3"/>
  <c r="A1464" i="3" s="1"/>
  <c r="E1465" i="3"/>
  <c r="A1465" i="3" s="1"/>
  <c r="E1466" i="3"/>
  <c r="A1466" i="3" s="1"/>
  <c r="E1467" i="3"/>
  <c r="A1467" i="3" s="1"/>
  <c r="E1468" i="3"/>
  <c r="A1468" i="3" s="1"/>
  <c r="E1469" i="3"/>
  <c r="A1469" i="3" s="1"/>
  <c r="E1470" i="3"/>
  <c r="A1470" i="3" s="1"/>
  <c r="E1471" i="3"/>
  <c r="A1471" i="3" s="1"/>
  <c r="E1472" i="3"/>
  <c r="A1472" i="3" s="1"/>
  <c r="E1473" i="3"/>
  <c r="A1473" i="3" s="1"/>
  <c r="E1474" i="3"/>
  <c r="A1474" i="3" s="1"/>
  <c r="E1475" i="3"/>
  <c r="A1475" i="3" s="1"/>
  <c r="E1476" i="3"/>
  <c r="A1476" i="3" s="1"/>
  <c r="E1477" i="3"/>
  <c r="A1477" i="3" s="1"/>
  <c r="E1478" i="3"/>
  <c r="A1478" i="3" s="1"/>
  <c r="E1479" i="3"/>
  <c r="A1479" i="3" s="1"/>
  <c r="E1480" i="3"/>
  <c r="A1480" i="3" s="1"/>
  <c r="E1481" i="3"/>
  <c r="A1481" i="3" s="1"/>
  <c r="E1482" i="3"/>
  <c r="A1482" i="3" s="1"/>
  <c r="E1483" i="3"/>
  <c r="A1483" i="3" s="1"/>
  <c r="E1484" i="3"/>
  <c r="A1484" i="3" s="1"/>
  <c r="E1485" i="3"/>
  <c r="A1485" i="3" s="1"/>
  <c r="E1486" i="3"/>
  <c r="A1486" i="3" s="1"/>
  <c r="E1487" i="3"/>
  <c r="A1487" i="3" s="1"/>
  <c r="E1488" i="3"/>
  <c r="A1488" i="3" s="1"/>
  <c r="E1489" i="3"/>
  <c r="A1489" i="3" s="1"/>
  <c r="E1490" i="3"/>
  <c r="A1490" i="3" s="1"/>
  <c r="E1491" i="3"/>
  <c r="A1491" i="3" s="1"/>
  <c r="E1492" i="3"/>
  <c r="A1492" i="3" s="1"/>
  <c r="E1493" i="3"/>
  <c r="A1493" i="3" s="1"/>
  <c r="E1494" i="3"/>
  <c r="A1494" i="3" s="1"/>
  <c r="E1495" i="3"/>
  <c r="A1495" i="3" s="1"/>
  <c r="E1496" i="3"/>
  <c r="A1496" i="3" s="1"/>
  <c r="E1497" i="3"/>
  <c r="A1497" i="3" s="1"/>
  <c r="E1498" i="3"/>
  <c r="A1498" i="3" s="1"/>
  <c r="E1499" i="3"/>
  <c r="A1499" i="3" s="1"/>
  <c r="E1500" i="3"/>
  <c r="A1500" i="3" s="1"/>
  <c r="E1501" i="3"/>
  <c r="A1501" i="3" s="1"/>
  <c r="E1502" i="3"/>
  <c r="A1502" i="3" s="1"/>
  <c r="E1503" i="3"/>
  <c r="A1503" i="3" s="1"/>
  <c r="E1504" i="3"/>
  <c r="A1504" i="3" s="1"/>
  <c r="E1505" i="3"/>
  <c r="A1505" i="3" s="1"/>
  <c r="E1506" i="3"/>
  <c r="A1506" i="3" s="1"/>
  <c r="E1507" i="3"/>
  <c r="A1507" i="3" s="1"/>
  <c r="E1508" i="3"/>
  <c r="A1508" i="3" s="1"/>
  <c r="E1509" i="3"/>
  <c r="A1509" i="3" s="1"/>
  <c r="E1510" i="3"/>
  <c r="A1510" i="3" s="1"/>
  <c r="E1511" i="3"/>
  <c r="A1511" i="3" s="1"/>
  <c r="E1512" i="3"/>
  <c r="A1512" i="3" s="1"/>
  <c r="E1513" i="3"/>
  <c r="A1513" i="3" s="1"/>
  <c r="E1514" i="3"/>
  <c r="A1514" i="3" s="1"/>
  <c r="E1515" i="3"/>
  <c r="A1515" i="3" s="1"/>
  <c r="E1516" i="3"/>
  <c r="A1516" i="3" s="1"/>
  <c r="E1517" i="3"/>
  <c r="A1517" i="3" s="1"/>
  <c r="E1518" i="3"/>
  <c r="A1518" i="3" s="1"/>
  <c r="E1519" i="3"/>
  <c r="A1519" i="3" s="1"/>
  <c r="E1520" i="3"/>
  <c r="A1520" i="3" s="1"/>
  <c r="E1521" i="3"/>
  <c r="A1521" i="3" s="1"/>
  <c r="E1522" i="3"/>
  <c r="A1522" i="3" s="1"/>
  <c r="E1523" i="3"/>
  <c r="A1523" i="3" s="1"/>
  <c r="E1524" i="3"/>
  <c r="A1524" i="3" s="1"/>
  <c r="E1525" i="3"/>
  <c r="A1525" i="3" s="1"/>
  <c r="E1526" i="3"/>
  <c r="A1526" i="3" s="1"/>
  <c r="E1527" i="3"/>
  <c r="A1527" i="3" s="1"/>
  <c r="E1528" i="3"/>
  <c r="A1528" i="3" s="1"/>
  <c r="E1529" i="3"/>
  <c r="A1529" i="3" s="1"/>
  <c r="E1530" i="3"/>
  <c r="A1530" i="3" s="1"/>
  <c r="E1531" i="3"/>
  <c r="A1531" i="3" s="1"/>
  <c r="E1532" i="3"/>
  <c r="A1532" i="3" s="1"/>
  <c r="E1533" i="3"/>
  <c r="A1533" i="3" s="1"/>
  <c r="E1534" i="3"/>
  <c r="A1534" i="3" s="1"/>
  <c r="E1535" i="3"/>
  <c r="A1535" i="3" s="1"/>
  <c r="E1536" i="3"/>
  <c r="A1536" i="3" s="1"/>
  <c r="E1537" i="3"/>
  <c r="A1537" i="3" s="1"/>
  <c r="E1538" i="3"/>
  <c r="A1538" i="3" s="1"/>
  <c r="E1539" i="3"/>
  <c r="A1539" i="3" s="1"/>
  <c r="E1540" i="3"/>
  <c r="A1540" i="3" s="1"/>
  <c r="E1541" i="3"/>
  <c r="A1541" i="3" s="1"/>
  <c r="E1542" i="3"/>
  <c r="A1542" i="3" s="1"/>
  <c r="E1543" i="3"/>
  <c r="A1543" i="3" s="1"/>
  <c r="E1544" i="3"/>
  <c r="A1544" i="3" s="1"/>
  <c r="E1545" i="3"/>
  <c r="A1545" i="3" s="1"/>
  <c r="E1546" i="3"/>
  <c r="A1546" i="3" s="1"/>
  <c r="E1547" i="3"/>
  <c r="A1547" i="3" s="1"/>
  <c r="E1548" i="3"/>
  <c r="A1548" i="3" s="1"/>
  <c r="E1549" i="3"/>
  <c r="A1549" i="3" s="1"/>
  <c r="E1550" i="3"/>
  <c r="A1550" i="3" s="1"/>
  <c r="E1551" i="3"/>
  <c r="A1551" i="3" s="1"/>
  <c r="E1552" i="3"/>
  <c r="A1552" i="3" s="1"/>
  <c r="E1553" i="3"/>
  <c r="A1553" i="3" s="1"/>
  <c r="E1554" i="3"/>
  <c r="A1554" i="3" s="1"/>
  <c r="E1555" i="3"/>
  <c r="A1555" i="3" s="1"/>
  <c r="E1556" i="3"/>
  <c r="A1556" i="3" s="1"/>
  <c r="E1557" i="3"/>
  <c r="A1557" i="3" s="1"/>
  <c r="E1558" i="3"/>
  <c r="A1558" i="3" s="1"/>
  <c r="E1559" i="3"/>
  <c r="A1559" i="3" s="1"/>
  <c r="E1560" i="3"/>
  <c r="A1560" i="3" s="1"/>
  <c r="E1561" i="3"/>
  <c r="A1561" i="3" s="1"/>
  <c r="E1562" i="3"/>
  <c r="A1562" i="3" s="1"/>
  <c r="E1563" i="3"/>
  <c r="A1563" i="3" s="1"/>
  <c r="E1564" i="3"/>
  <c r="A1564" i="3" s="1"/>
  <c r="E1565" i="3"/>
  <c r="A1565" i="3" s="1"/>
  <c r="E1566" i="3"/>
  <c r="A1566" i="3" s="1"/>
  <c r="E1567" i="3"/>
  <c r="A1567" i="3" s="1"/>
  <c r="E1568" i="3"/>
  <c r="A1568" i="3" s="1"/>
  <c r="E1569" i="3"/>
  <c r="A1569" i="3" s="1"/>
  <c r="E1570" i="3"/>
  <c r="A1570" i="3" s="1"/>
  <c r="E1571" i="3"/>
  <c r="A1571" i="3" s="1"/>
  <c r="E1572" i="3"/>
  <c r="A1572" i="3" s="1"/>
  <c r="E1573" i="3"/>
  <c r="A1573" i="3" s="1"/>
  <c r="E1574" i="3"/>
  <c r="A1574" i="3" s="1"/>
  <c r="E1575" i="3"/>
  <c r="A1575" i="3" s="1"/>
  <c r="E1576" i="3"/>
  <c r="A1576" i="3" s="1"/>
  <c r="E1577" i="3"/>
  <c r="A1577" i="3" s="1"/>
  <c r="E1578" i="3"/>
  <c r="A1578" i="3" s="1"/>
  <c r="E1579" i="3"/>
  <c r="A1579" i="3" s="1"/>
  <c r="E1580" i="3"/>
  <c r="A1580" i="3" s="1"/>
  <c r="E1581" i="3"/>
  <c r="A1581" i="3" s="1"/>
  <c r="E1582" i="3"/>
  <c r="A1582" i="3" s="1"/>
  <c r="E1583" i="3"/>
  <c r="A1583" i="3" s="1"/>
  <c r="E1584" i="3"/>
  <c r="A1584" i="3" s="1"/>
  <c r="E1585" i="3"/>
  <c r="A1585" i="3" s="1"/>
  <c r="E1586" i="3"/>
  <c r="A1586" i="3" s="1"/>
  <c r="E1587" i="3"/>
  <c r="A1587" i="3" s="1"/>
  <c r="E1588" i="3"/>
  <c r="A1588" i="3" s="1"/>
  <c r="E1589" i="3"/>
  <c r="A1589" i="3" s="1"/>
  <c r="E1590" i="3"/>
  <c r="A1590" i="3" s="1"/>
  <c r="E1591" i="3"/>
  <c r="A1591" i="3" s="1"/>
  <c r="E1592" i="3"/>
  <c r="A1592" i="3" s="1"/>
  <c r="E1593" i="3"/>
  <c r="A1593" i="3" s="1"/>
  <c r="E1594" i="3"/>
  <c r="A1594" i="3" s="1"/>
  <c r="E1595" i="3"/>
  <c r="A1595" i="3" s="1"/>
  <c r="E1596" i="3"/>
  <c r="A1596" i="3" s="1"/>
  <c r="E1597" i="3"/>
  <c r="A1597" i="3" s="1"/>
  <c r="E1598" i="3"/>
  <c r="A1598" i="3" s="1"/>
  <c r="E1599" i="3"/>
  <c r="A1599" i="3" s="1"/>
  <c r="E1600" i="3"/>
  <c r="A1600" i="3" s="1"/>
  <c r="E1601" i="3"/>
  <c r="A1601" i="3" s="1"/>
  <c r="E1602" i="3"/>
  <c r="A1602" i="3" s="1"/>
  <c r="E1603" i="3"/>
  <c r="A1603" i="3" s="1"/>
  <c r="E1604" i="3"/>
  <c r="A1604" i="3" s="1"/>
  <c r="E1605" i="3"/>
  <c r="A1605" i="3" s="1"/>
  <c r="E1606" i="3"/>
  <c r="A1606" i="3" s="1"/>
  <c r="E1607" i="3"/>
  <c r="A1607" i="3" s="1"/>
  <c r="E1608" i="3"/>
  <c r="A1608" i="3" s="1"/>
  <c r="E1609" i="3"/>
  <c r="A1609" i="3" s="1"/>
  <c r="E1610" i="3"/>
  <c r="A1610" i="3" s="1"/>
  <c r="E1611" i="3"/>
  <c r="A1611" i="3" s="1"/>
  <c r="E1612" i="3"/>
  <c r="A1612" i="3" s="1"/>
  <c r="E1613" i="3"/>
  <c r="A1613" i="3" s="1"/>
  <c r="E1614" i="3"/>
  <c r="A1614" i="3" s="1"/>
  <c r="E1615" i="3"/>
  <c r="A1615" i="3" s="1"/>
  <c r="E1616" i="3"/>
  <c r="A1616" i="3" s="1"/>
  <c r="E1617" i="3"/>
  <c r="A1617" i="3" s="1"/>
  <c r="E1618" i="3"/>
  <c r="A1618" i="3" s="1"/>
  <c r="E1619" i="3"/>
  <c r="A1619" i="3" s="1"/>
  <c r="E1620" i="3"/>
  <c r="A1620" i="3" s="1"/>
  <c r="E1621" i="3"/>
  <c r="A1621" i="3" s="1"/>
  <c r="E1622" i="3"/>
  <c r="A1622" i="3" s="1"/>
  <c r="E1623" i="3"/>
  <c r="A1623" i="3" s="1"/>
  <c r="E1624" i="3"/>
  <c r="A1624" i="3" s="1"/>
  <c r="E1625" i="3"/>
  <c r="A1625" i="3" s="1"/>
  <c r="E1626" i="3"/>
  <c r="A1626" i="3" s="1"/>
  <c r="E1627" i="3"/>
  <c r="A1627" i="3" s="1"/>
  <c r="E1628" i="3"/>
  <c r="A1628" i="3" s="1"/>
  <c r="E1629" i="3"/>
  <c r="A1629" i="3" s="1"/>
  <c r="E1630" i="3"/>
  <c r="A1630" i="3" s="1"/>
  <c r="E1631" i="3"/>
  <c r="A1631" i="3" s="1"/>
  <c r="E1632" i="3"/>
  <c r="A1632" i="3" s="1"/>
  <c r="E1633" i="3"/>
  <c r="A1633" i="3" s="1"/>
  <c r="E1634" i="3"/>
  <c r="A1634" i="3" s="1"/>
  <c r="E1635" i="3"/>
  <c r="A1635" i="3" s="1"/>
  <c r="E1636" i="3"/>
  <c r="A1636" i="3" s="1"/>
  <c r="E1637" i="3"/>
  <c r="A1637" i="3" s="1"/>
  <c r="E1638" i="3"/>
  <c r="A1638" i="3" s="1"/>
  <c r="E1639" i="3"/>
  <c r="A1639" i="3" s="1"/>
  <c r="E1640" i="3"/>
  <c r="A1640" i="3" s="1"/>
  <c r="E1641" i="3"/>
  <c r="A1641" i="3" s="1"/>
  <c r="E1642" i="3"/>
  <c r="A1642" i="3" s="1"/>
  <c r="E1643" i="3"/>
  <c r="A1643" i="3" s="1"/>
  <c r="E1644" i="3"/>
  <c r="A1644" i="3" s="1"/>
  <c r="E1645" i="3"/>
  <c r="A1645" i="3" s="1"/>
  <c r="E1646" i="3"/>
  <c r="A1646" i="3" s="1"/>
  <c r="E1647" i="3"/>
  <c r="A1647" i="3" s="1"/>
  <c r="E1648" i="3"/>
  <c r="A1648" i="3" s="1"/>
  <c r="E1649" i="3"/>
  <c r="A1649" i="3" s="1"/>
  <c r="E1650" i="3"/>
  <c r="A1650" i="3" s="1"/>
  <c r="E1651" i="3"/>
  <c r="A1651" i="3" s="1"/>
  <c r="E1652" i="3"/>
  <c r="A1652" i="3" s="1"/>
  <c r="E1653" i="3"/>
  <c r="A1653" i="3" s="1"/>
  <c r="E1654" i="3"/>
  <c r="A1654" i="3" s="1"/>
  <c r="E1655" i="3"/>
  <c r="A1655" i="3" s="1"/>
  <c r="E1656" i="3"/>
  <c r="A1656" i="3" s="1"/>
  <c r="E1657" i="3"/>
  <c r="A1657" i="3" s="1"/>
  <c r="E1658" i="3"/>
  <c r="A1658" i="3" s="1"/>
  <c r="E1659" i="3"/>
  <c r="A1659" i="3" s="1"/>
  <c r="E1660" i="3"/>
  <c r="A1660" i="3" s="1"/>
  <c r="E1661" i="3"/>
  <c r="A1661" i="3" s="1"/>
  <c r="E1662" i="3"/>
  <c r="A1662" i="3" s="1"/>
  <c r="E1663" i="3"/>
  <c r="A1663" i="3" s="1"/>
  <c r="E1664" i="3"/>
  <c r="A1664" i="3" s="1"/>
  <c r="E1665" i="3"/>
  <c r="A1665" i="3" s="1"/>
  <c r="E1666" i="3"/>
  <c r="A1666" i="3" s="1"/>
  <c r="E1667" i="3"/>
  <c r="A1667" i="3" s="1"/>
  <c r="E1668" i="3"/>
  <c r="A1668" i="3" s="1"/>
  <c r="E1669" i="3"/>
  <c r="A1669" i="3" s="1"/>
  <c r="E1670" i="3"/>
  <c r="A1670" i="3" s="1"/>
  <c r="E1671" i="3"/>
  <c r="A1671" i="3" s="1"/>
  <c r="E1672" i="3"/>
  <c r="A1672" i="3" s="1"/>
  <c r="E1673" i="3"/>
  <c r="A1673" i="3" s="1"/>
  <c r="E1674" i="3"/>
  <c r="A1674" i="3" s="1"/>
  <c r="E1675" i="3"/>
  <c r="A1675" i="3" s="1"/>
  <c r="E1676" i="3"/>
  <c r="A1676" i="3" s="1"/>
  <c r="E1677" i="3"/>
  <c r="A1677" i="3" s="1"/>
  <c r="E1678" i="3"/>
  <c r="A1678" i="3" s="1"/>
  <c r="E1679" i="3"/>
  <c r="A1679" i="3" s="1"/>
  <c r="E1680" i="3"/>
  <c r="A1680" i="3" s="1"/>
  <c r="E1681" i="3"/>
  <c r="A1681" i="3" s="1"/>
  <c r="E1682" i="3"/>
  <c r="A1682" i="3" s="1"/>
  <c r="E1683" i="3"/>
  <c r="A1683" i="3" s="1"/>
  <c r="E1684" i="3"/>
  <c r="A1684" i="3" s="1"/>
  <c r="E1685" i="3"/>
  <c r="A1685" i="3" s="1"/>
  <c r="E1686" i="3"/>
  <c r="A1686" i="3" s="1"/>
  <c r="E1687" i="3"/>
  <c r="A1687" i="3" s="1"/>
  <c r="E1688" i="3"/>
  <c r="A1688" i="3" s="1"/>
  <c r="E1689" i="3"/>
  <c r="A1689" i="3" s="1"/>
  <c r="E1690" i="3"/>
  <c r="A1690" i="3" s="1"/>
  <c r="E1691" i="3"/>
  <c r="A1691" i="3" s="1"/>
  <c r="E1692" i="3"/>
  <c r="A1692" i="3" s="1"/>
  <c r="E1693" i="3"/>
  <c r="A1693" i="3" s="1"/>
  <c r="E1694" i="3"/>
  <c r="A1694" i="3" s="1"/>
  <c r="E1695" i="3"/>
  <c r="A1695" i="3" s="1"/>
  <c r="E1696" i="3"/>
  <c r="A1696" i="3" s="1"/>
  <c r="E1697" i="3"/>
  <c r="A1697" i="3" s="1"/>
  <c r="E1698" i="3"/>
  <c r="A1698" i="3" s="1"/>
  <c r="E1699" i="3"/>
  <c r="A1699" i="3" s="1"/>
  <c r="E1700" i="3"/>
  <c r="A1700" i="3" s="1"/>
  <c r="E1701" i="3"/>
  <c r="A1701" i="3" s="1"/>
  <c r="E1702" i="3"/>
  <c r="A1702" i="3" s="1"/>
  <c r="E1703" i="3"/>
  <c r="A1703" i="3" s="1"/>
  <c r="E1704" i="3"/>
  <c r="A1704" i="3" s="1"/>
  <c r="E1705" i="3"/>
  <c r="A1705" i="3" s="1"/>
  <c r="E1706" i="3"/>
  <c r="A1706" i="3" s="1"/>
  <c r="E1707" i="3"/>
  <c r="A1707" i="3" s="1"/>
  <c r="E1708" i="3"/>
  <c r="A1708" i="3" s="1"/>
  <c r="E1709" i="3"/>
  <c r="A1709" i="3" s="1"/>
  <c r="E1710" i="3"/>
  <c r="A1710" i="3" s="1"/>
  <c r="E1711" i="3"/>
  <c r="A1711" i="3" s="1"/>
  <c r="E1712" i="3"/>
  <c r="A1712" i="3" s="1"/>
  <c r="E1713" i="3"/>
  <c r="A1713" i="3" s="1"/>
  <c r="E1714" i="3"/>
  <c r="A1714" i="3" s="1"/>
  <c r="E1715" i="3"/>
  <c r="A1715" i="3" s="1"/>
  <c r="E1716" i="3"/>
  <c r="A1716" i="3" s="1"/>
  <c r="E1717" i="3"/>
  <c r="A1717" i="3" s="1"/>
  <c r="E1718" i="3"/>
  <c r="A1718" i="3" s="1"/>
  <c r="E1719" i="3"/>
  <c r="A1719" i="3" s="1"/>
  <c r="E1720" i="3"/>
  <c r="A1720" i="3" s="1"/>
  <c r="E1721" i="3"/>
  <c r="A1721" i="3" s="1"/>
  <c r="E1722" i="3"/>
  <c r="A1722" i="3" s="1"/>
  <c r="E1723" i="3"/>
  <c r="A1723" i="3" s="1"/>
  <c r="E1724" i="3"/>
  <c r="A1724" i="3" s="1"/>
  <c r="E1725" i="3"/>
  <c r="A1725" i="3" s="1"/>
  <c r="E1726" i="3"/>
  <c r="A1726" i="3" s="1"/>
  <c r="E1727" i="3"/>
  <c r="A1727" i="3" s="1"/>
  <c r="E1728" i="3"/>
  <c r="A1728" i="3" s="1"/>
  <c r="E1729" i="3"/>
  <c r="A1729" i="3" s="1"/>
  <c r="E1730" i="3"/>
  <c r="A1730" i="3" s="1"/>
  <c r="E1731" i="3"/>
  <c r="A1731" i="3" s="1"/>
  <c r="E1732" i="3"/>
  <c r="A1732" i="3" s="1"/>
  <c r="E1733" i="3"/>
  <c r="A1733" i="3" s="1"/>
  <c r="E1734" i="3"/>
  <c r="A1734" i="3" s="1"/>
  <c r="E1735" i="3"/>
  <c r="A1735" i="3" s="1"/>
  <c r="E1736" i="3"/>
  <c r="A1736" i="3" s="1"/>
  <c r="E1737" i="3"/>
  <c r="A1737" i="3" s="1"/>
  <c r="E1738" i="3"/>
  <c r="A1738" i="3" s="1"/>
  <c r="E1739" i="3"/>
  <c r="A1739" i="3" s="1"/>
  <c r="E1740" i="3"/>
  <c r="A1740" i="3" s="1"/>
  <c r="E1741" i="3"/>
  <c r="A1741" i="3" s="1"/>
  <c r="E1742" i="3"/>
  <c r="A1742" i="3" s="1"/>
  <c r="E1743" i="3"/>
  <c r="A1743" i="3" s="1"/>
  <c r="E1744" i="3"/>
  <c r="A1744" i="3" s="1"/>
  <c r="E1745" i="3"/>
  <c r="A1745" i="3" s="1"/>
  <c r="E1746" i="3"/>
  <c r="A1746" i="3" s="1"/>
  <c r="E1747" i="3"/>
  <c r="A1747" i="3" s="1"/>
  <c r="E1748" i="3"/>
  <c r="A1748" i="3" s="1"/>
  <c r="E1749" i="3"/>
  <c r="A1749" i="3" s="1"/>
  <c r="E1750" i="3"/>
  <c r="A1750" i="3" s="1"/>
  <c r="E1751" i="3"/>
  <c r="A1751" i="3" s="1"/>
  <c r="E1752" i="3"/>
  <c r="A1752" i="3" s="1"/>
  <c r="E1753" i="3"/>
  <c r="A1753" i="3" s="1"/>
  <c r="E1754" i="3"/>
  <c r="A1754" i="3" s="1"/>
  <c r="E1755" i="3"/>
  <c r="A1755" i="3" s="1"/>
  <c r="E1756" i="3"/>
  <c r="A1756" i="3" s="1"/>
  <c r="E1757" i="3"/>
  <c r="A1757" i="3" s="1"/>
  <c r="E1758" i="3"/>
  <c r="A1758" i="3" s="1"/>
  <c r="E1759" i="3"/>
  <c r="A1759" i="3" s="1"/>
  <c r="E1760" i="3"/>
  <c r="A1760" i="3" s="1"/>
  <c r="E1761" i="3"/>
  <c r="A1761" i="3" s="1"/>
  <c r="E1762" i="3"/>
  <c r="A1762" i="3" s="1"/>
  <c r="E1763" i="3"/>
  <c r="A1763" i="3" s="1"/>
  <c r="E1764" i="3"/>
  <c r="A1764" i="3" s="1"/>
  <c r="E1765" i="3"/>
  <c r="A1765" i="3" s="1"/>
  <c r="E1766" i="3"/>
  <c r="A1766" i="3" s="1"/>
  <c r="E1767" i="3"/>
  <c r="A1767" i="3" s="1"/>
  <c r="E1768" i="3"/>
  <c r="A1768" i="3" s="1"/>
  <c r="E1769" i="3"/>
  <c r="A1769" i="3" s="1"/>
  <c r="E1770" i="3"/>
  <c r="A1770" i="3" s="1"/>
  <c r="E1771" i="3"/>
  <c r="A1771" i="3" s="1"/>
  <c r="E1772" i="3"/>
  <c r="A1772" i="3" s="1"/>
  <c r="E1773" i="3"/>
  <c r="A1773" i="3" s="1"/>
  <c r="E1774" i="3"/>
  <c r="A1774" i="3" s="1"/>
  <c r="E1775" i="3"/>
  <c r="A1775" i="3" s="1"/>
  <c r="E1776" i="3"/>
  <c r="A1776" i="3" s="1"/>
  <c r="E1777" i="3"/>
  <c r="A1777" i="3" s="1"/>
  <c r="E1778" i="3"/>
  <c r="A1778" i="3" s="1"/>
  <c r="E1779" i="3"/>
  <c r="A1779" i="3" s="1"/>
  <c r="E1780" i="3"/>
  <c r="A1780" i="3" s="1"/>
  <c r="E1781" i="3"/>
  <c r="A1781" i="3" s="1"/>
  <c r="E1782" i="3"/>
  <c r="A1782" i="3" s="1"/>
  <c r="E1783" i="3"/>
  <c r="A1783" i="3" s="1"/>
  <c r="E1784" i="3"/>
  <c r="A1784" i="3" s="1"/>
  <c r="E1785" i="3"/>
  <c r="A1785" i="3" s="1"/>
  <c r="E1786" i="3"/>
  <c r="A1786" i="3" s="1"/>
  <c r="E1787" i="3"/>
  <c r="A1787" i="3" s="1"/>
  <c r="E1788" i="3"/>
  <c r="A1788" i="3" s="1"/>
  <c r="E1789" i="3"/>
  <c r="A1789" i="3" s="1"/>
  <c r="E1790" i="3"/>
  <c r="A1790" i="3" s="1"/>
  <c r="E1791" i="3"/>
  <c r="A1791" i="3" s="1"/>
  <c r="E1792" i="3"/>
  <c r="A1792" i="3" s="1"/>
  <c r="E1793" i="3"/>
  <c r="A1793" i="3" s="1"/>
  <c r="E1794" i="3"/>
  <c r="A1794" i="3" s="1"/>
  <c r="E1795" i="3"/>
  <c r="A1795" i="3" s="1"/>
  <c r="E1796" i="3"/>
  <c r="A1796" i="3" s="1"/>
  <c r="E1797" i="3"/>
  <c r="A1797" i="3" s="1"/>
  <c r="E1798" i="3"/>
  <c r="A1798" i="3" s="1"/>
  <c r="E1799" i="3"/>
  <c r="A1799" i="3" s="1"/>
  <c r="E1800" i="3"/>
  <c r="A1800" i="3" s="1"/>
  <c r="E1801" i="3"/>
  <c r="A1801" i="3" s="1"/>
  <c r="E1802" i="3"/>
  <c r="A1802" i="3" s="1"/>
  <c r="E1803" i="3"/>
  <c r="A1803" i="3" s="1"/>
  <c r="E1804" i="3"/>
  <c r="A1804" i="3" s="1"/>
  <c r="E1805" i="3"/>
  <c r="A1805" i="3" s="1"/>
  <c r="E1806" i="3"/>
  <c r="A1806" i="3" s="1"/>
  <c r="E1807" i="3"/>
  <c r="A1807" i="3" s="1"/>
  <c r="E1808" i="3"/>
  <c r="A1808" i="3" s="1"/>
  <c r="E1809" i="3"/>
  <c r="A1809" i="3" s="1"/>
  <c r="E1810" i="3"/>
  <c r="A1810" i="3" s="1"/>
  <c r="E1811" i="3"/>
  <c r="A1811" i="3" s="1"/>
  <c r="E1812" i="3"/>
  <c r="A1812" i="3" s="1"/>
  <c r="E1813" i="3"/>
  <c r="A1813" i="3" s="1"/>
  <c r="E1814" i="3"/>
  <c r="A1814" i="3" s="1"/>
  <c r="E1815" i="3"/>
  <c r="A1815" i="3" s="1"/>
  <c r="E1816" i="3"/>
  <c r="A1816" i="3" s="1"/>
  <c r="E1817" i="3"/>
  <c r="A1817" i="3" s="1"/>
  <c r="E1818" i="3"/>
  <c r="A1818" i="3" s="1"/>
  <c r="E1819" i="3"/>
  <c r="A1819" i="3" s="1"/>
  <c r="E1820" i="3"/>
  <c r="A1820" i="3" s="1"/>
  <c r="E1821" i="3"/>
  <c r="A1821" i="3" s="1"/>
  <c r="E1822" i="3"/>
  <c r="A1822" i="3" s="1"/>
  <c r="E1823" i="3"/>
  <c r="A1823" i="3" s="1"/>
  <c r="E1824" i="3"/>
  <c r="A1824" i="3" s="1"/>
  <c r="E1825" i="3"/>
  <c r="A1825" i="3" s="1"/>
  <c r="E1826" i="3"/>
  <c r="A1826" i="3" s="1"/>
  <c r="E1827" i="3"/>
  <c r="A1827" i="3" s="1"/>
  <c r="E1828" i="3"/>
  <c r="A1828" i="3" s="1"/>
  <c r="E1829" i="3"/>
  <c r="A1829" i="3" s="1"/>
  <c r="E1830" i="3"/>
  <c r="A1830" i="3" s="1"/>
  <c r="E1831" i="3"/>
  <c r="A1831" i="3" s="1"/>
  <c r="E1832" i="3"/>
  <c r="A1832" i="3" s="1"/>
  <c r="E1833" i="3"/>
  <c r="A1833" i="3" s="1"/>
  <c r="E1834" i="3"/>
  <c r="A1834" i="3" s="1"/>
  <c r="E1835" i="3"/>
  <c r="A1835" i="3" s="1"/>
  <c r="E1836" i="3"/>
  <c r="A1836" i="3" s="1"/>
  <c r="E1837" i="3"/>
  <c r="A1837" i="3" s="1"/>
  <c r="E1838" i="3"/>
  <c r="A1838" i="3" s="1"/>
  <c r="E1839" i="3"/>
  <c r="A1839" i="3" s="1"/>
  <c r="E1840" i="3"/>
  <c r="A1840" i="3" s="1"/>
  <c r="E1841" i="3"/>
  <c r="A1841" i="3" s="1"/>
  <c r="E1842" i="3"/>
  <c r="A1842" i="3" s="1"/>
  <c r="E1843" i="3"/>
  <c r="A1843" i="3" s="1"/>
  <c r="E1844" i="3"/>
  <c r="A1844" i="3" s="1"/>
  <c r="E1845" i="3"/>
  <c r="A1845" i="3" s="1"/>
  <c r="E1846" i="3"/>
  <c r="A1846" i="3" s="1"/>
  <c r="E1847" i="3"/>
  <c r="A1847" i="3" s="1"/>
  <c r="E1848" i="3"/>
  <c r="A1848" i="3" s="1"/>
  <c r="E1849" i="3"/>
  <c r="A1849" i="3" s="1"/>
  <c r="E1850" i="3"/>
  <c r="A1850" i="3" s="1"/>
  <c r="E1851" i="3"/>
  <c r="A1851" i="3" s="1"/>
  <c r="E1852" i="3"/>
  <c r="A1852" i="3" s="1"/>
  <c r="E1853" i="3"/>
  <c r="A1853" i="3" s="1"/>
  <c r="E1854" i="3"/>
  <c r="A1854" i="3" s="1"/>
  <c r="E1855" i="3"/>
  <c r="A1855" i="3" s="1"/>
  <c r="E1856" i="3"/>
  <c r="A1856" i="3" s="1"/>
  <c r="E1857" i="3"/>
  <c r="A1857" i="3" s="1"/>
  <c r="E1858" i="3"/>
  <c r="A1858" i="3" s="1"/>
  <c r="E1859" i="3"/>
  <c r="A1859" i="3" s="1"/>
  <c r="E1860" i="3"/>
  <c r="A1860" i="3" s="1"/>
  <c r="E1861" i="3"/>
  <c r="A1861" i="3" s="1"/>
  <c r="E1862" i="3"/>
  <c r="A1862" i="3" s="1"/>
  <c r="E1863" i="3"/>
  <c r="A1863" i="3" s="1"/>
  <c r="E1864" i="3"/>
  <c r="A1864" i="3" s="1"/>
  <c r="E1865" i="3"/>
  <c r="A1865" i="3" s="1"/>
  <c r="E1866" i="3"/>
  <c r="A1866" i="3" s="1"/>
  <c r="E1867" i="3"/>
  <c r="A1867" i="3" s="1"/>
  <c r="E1868" i="3"/>
  <c r="A1868" i="3" s="1"/>
  <c r="E1869" i="3"/>
  <c r="A1869" i="3" s="1"/>
  <c r="E1870" i="3"/>
  <c r="A1870" i="3" s="1"/>
  <c r="E1871" i="3"/>
  <c r="A1871" i="3" s="1"/>
  <c r="E1872" i="3"/>
  <c r="A1872" i="3" s="1"/>
  <c r="E1873" i="3"/>
  <c r="A1873" i="3" s="1"/>
  <c r="E1874" i="3"/>
  <c r="A1874" i="3" s="1"/>
  <c r="E1875" i="3"/>
  <c r="A1875" i="3" s="1"/>
  <c r="E1876" i="3"/>
  <c r="A1876" i="3" s="1"/>
  <c r="E1877" i="3"/>
  <c r="A1877" i="3" s="1"/>
  <c r="E1878" i="3"/>
  <c r="A1878" i="3" s="1"/>
  <c r="E1879" i="3"/>
  <c r="A1879" i="3" s="1"/>
  <c r="E1880" i="3"/>
  <c r="A1880" i="3" s="1"/>
  <c r="E1881" i="3"/>
  <c r="A1881" i="3" s="1"/>
  <c r="E1882" i="3"/>
  <c r="A1882" i="3" s="1"/>
  <c r="E1883" i="3"/>
  <c r="A1883" i="3" s="1"/>
  <c r="E1884" i="3"/>
  <c r="A1884" i="3" s="1"/>
  <c r="E1885" i="3"/>
  <c r="A1885" i="3" s="1"/>
  <c r="E1886" i="3"/>
  <c r="A1886" i="3" s="1"/>
  <c r="E1887" i="3"/>
  <c r="A1887" i="3" s="1"/>
  <c r="E1888" i="3"/>
  <c r="A1888" i="3" s="1"/>
  <c r="E1889" i="3"/>
  <c r="A1889" i="3" s="1"/>
  <c r="E1890" i="3"/>
  <c r="A1890" i="3" s="1"/>
  <c r="E1891" i="3"/>
  <c r="A1891" i="3" s="1"/>
  <c r="E1892" i="3"/>
  <c r="A1892" i="3" s="1"/>
  <c r="E1893" i="3"/>
  <c r="A1893" i="3" s="1"/>
  <c r="E1894" i="3"/>
  <c r="A1894" i="3" s="1"/>
  <c r="E1895" i="3"/>
  <c r="A1895" i="3" s="1"/>
  <c r="E1896" i="3"/>
  <c r="A1896" i="3" s="1"/>
  <c r="E1897" i="3"/>
  <c r="A1897" i="3" s="1"/>
  <c r="E1898" i="3"/>
  <c r="A1898" i="3" s="1"/>
  <c r="E1899" i="3"/>
  <c r="A1899" i="3" s="1"/>
  <c r="E1900" i="3"/>
  <c r="A1900" i="3" s="1"/>
  <c r="E1901" i="3"/>
  <c r="A1901" i="3" s="1"/>
  <c r="E1902" i="3"/>
  <c r="A1902" i="3" s="1"/>
  <c r="E1903" i="3"/>
  <c r="A1903" i="3" s="1"/>
  <c r="E1904" i="3"/>
  <c r="A1904" i="3" s="1"/>
  <c r="E1905" i="3"/>
  <c r="A1905" i="3" s="1"/>
  <c r="E1906" i="3"/>
  <c r="A1906" i="3" s="1"/>
  <c r="E1907" i="3"/>
  <c r="A1907" i="3" s="1"/>
  <c r="E1908" i="3"/>
  <c r="A1908" i="3" s="1"/>
  <c r="E1909" i="3"/>
  <c r="A1909" i="3" s="1"/>
  <c r="E1910" i="3"/>
  <c r="A1910" i="3" s="1"/>
  <c r="E1911" i="3"/>
  <c r="A1911" i="3" s="1"/>
  <c r="E1912" i="3"/>
  <c r="A1912" i="3" s="1"/>
  <c r="E1913" i="3"/>
  <c r="A1913" i="3" s="1"/>
  <c r="E1914" i="3"/>
  <c r="A1914" i="3" s="1"/>
  <c r="E1915" i="3"/>
  <c r="A1915" i="3" s="1"/>
  <c r="E1916" i="3"/>
  <c r="A1916" i="3" s="1"/>
  <c r="E1917" i="3"/>
  <c r="A1917" i="3" s="1"/>
  <c r="E1918" i="3"/>
  <c r="A1918" i="3" s="1"/>
  <c r="E1919" i="3"/>
  <c r="A1919" i="3" s="1"/>
  <c r="E1920" i="3"/>
  <c r="A1920" i="3" s="1"/>
  <c r="E1921" i="3"/>
  <c r="A1921" i="3" s="1"/>
  <c r="E1922" i="3"/>
  <c r="A1922" i="3" s="1"/>
  <c r="E1923" i="3"/>
  <c r="A1923" i="3" s="1"/>
  <c r="E1924" i="3"/>
  <c r="A1924" i="3" s="1"/>
  <c r="E1925" i="3"/>
  <c r="A1925" i="3" s="1"/>
  <c r="E1926" i="3"/>
  <c r="A1926" i="3" s="1"/>
  <c r="E1927" i="3"/>
  <c r="A1927" i="3" s="1"/>
  <c r="E1928" i="3"/>
  <c r="A1928" i="3" s="1"/>
  <c r="E1929" i="3"/>
  <c r="A1929" i="3" s="1"/>
  <c r="E1930" i="3"/>
  <c r="A1930" i="3" s="1"/>
  <c r="E1931" i="3"/>
  <c r="A1931" i="3" s="1"/>
  <c r="E1932" i="3"/>
  <c r="A1932" i="3" s="1"/>
  <c r="E1933" i="3"/>
  <c r="A1933" i="3" s="1"/>
  <c r="E1934" i="3"/>
  <c r="A1934" i="3" s="1"/>
  <c r="E1935" i="3"/>
  <c r="A1935" i="3" s="1"/>
  <c r="E1936" i="3"/>
  <c r="A1936" i="3" s="1"/>
  <c r="E1937" i="3"/>
  <c r="A1937" i="3" s="1"/>
  <c r="E1938" i="3"/>
  <c r="A1938" i="3" s="1"/>
  <c r="E1939" i="3"/>
  <c r="A1939" i="3" s="1"/>
  <c r="E1940" i="3"/>
  <c r="A1940" i="3" s="1"/>
  <c r="E1941" i="3"/>
  <c r="A1941" i="3" s="1"/>
  <c r="E1942" i="3"/>
  <c r="A1942" i="3" s="1"/>
  <c r="E1943" i="3"/>
  <c r="A1943" i="3" s="1"/>
  <c r="E1944" i="3"/>
  <c r="A1944" i="3" s="1"/>
  <c r="E1945" i="3"/>
  <c r="A1945" i="3" s="1"/>
  <c r="E1946" i="3"/>
  <c r="A1946" i="3" s="1"/>
  <c r="E1947" i="3"/>
  <c r="A1947" i="3" s="1"/>
  <c r="E1948" i="3"/>
  <c r="A1948" i="3" s="1"/>
  <c r="E1949" i="3"/>
  <c r="A1949" i="3" s="1"/>
  <c r="E1950" i="3"/>
  <c r="A1950" i="3" s="1"/>
  <c r="E1951" i="3"/>
  <c r="A1951" i="3" s="1"/>
  <c r="E1952" i="3"/>
  <c r="A1952" i="3" s="1"/>
  <c r="E1953" i="3"/>
  <c r="A1953" i="3" s="1"/>
  <c r="E1954" i="3"/>
  <c r="A1954" i="3" s="1"/>
  <c r="E1955" i="3"/>
  <c r="A1955" i="3" s="1"/>
  <c r="E1956" i="3"/>
  <c r="A1956" i="3" s="1"/>
  <c r="E1957" i="3"/>
  <c r="A1957" i="3" s="1"/>
  <c r="E1958" i="3"/>
  <c r="A1958" i="3" s="1"/>
  <c r="E1959" i="3"/>
  <c r="A1959" i="3" s="1"/>
  <c r="E1960" i="3"/>
  <c r="A1960" i="3" s="1"/>
  <c r="E1961" i="3"/>
  <c r="A1961" i="3" s="1"/>
  <c r="E1962" i="3"/>
  <c r="A1962" i="3" s="1"/>
  <c r="E1963" i="3"/>
  <c r="A1963" i="3" s="1"/>
  <c r="E1964" i="3"/>
  <c r="A1964" i="3" s="1"/>
  <c r="E1965" i="3"/>
  <c r="A1965" i="3" s="1"/>
  <c r="E1966" i="3"/>
  <c r="A1966" i="3" s="1"/>
  <c r="E1967" i="3"/>
  <c r="A1967" i="3" s="1"/>
  <c r="E1968" i="3"/>
  <c r="A1968" i="3" s="1"/>
  <c r="E1969" i="3"/>
  <c r="A1969" i="3" s="1"/>
  <c r="E1970" i="3"/>
  <c r="A1970" i="3" s="1"/>
  <c r="E1971" i="3"/>
  <c r="A1971" i="3" s="1"/>
  <c r="E1972" i="3"/>
  <c r="A1972" i="3" s="1"/>
  <c r="E1973" i="3"/>
  <c r="A1973" i="3" s="1"/>
  <c r="E1974" i="3"/>
  <c r="A1974" i="3" s="1"/>
  <c r="E1975" i="3"/>
  <c r="A1975" i="3" s="1"/>
  <c r="E1976" i="3"/>
  <c r="A1976" i="3" s="1"/>
  <c r="E1977" i="3"/>
  <c r="A1977" i="3" s="1"/>
  <c r="E1978" i="3"/>
  <c r="A1978" i="3" s="1"/>
  <c r="E1979" i="3"/>
  <c r="A1979" i="3" s="1"/>
  <c r="E1980" i="3"/>
  <c r="A1980" i="3" s="1"/>
  <c r="E1981" i="3"/>
  <c r="A1981" i="3" s="1"/>
  <c r="E1982" i="3"/>
  <c r="A1982" i="3" s="1"/>
  <c r="E1983" i="3"/>
  <c r="A1983" i="3" s="1"/>
  <c r="E1984" i="3"/>
  <c r="A1984" i="3" s="1"/>
  <c r="E1985" i="3"/>
  <c r="A1985" i="3" s="1"/>
  <c r="E1986" i="3"/>
  <c r="A1986" i="3" s="1"/>
  <c r="E1987" i="3"/>
  <c r="A1987" i="3" s="1"/>
  <c r="E1988" i="3"/>
  <c r="A1988" i="3" s="1"/>
  <c r="E1989" i="3"/>
  <c r="A1989" i="3" s="1"/>
  <c r="E1990" i="3"/>
  <c r="A1990" i="3" s="1"/>
  <c r="E1991" i="3"/>
  <c r="A1991" i="3" s="1"/>
  <c r="E1992" i="3"/>
  <c r="A1992" i="3" s="1"/>
  <c r="E1993" i="3"/>
  <c r="A1993" i="3" s="1"/>
  <c r="E1994" i="3"/>
  <c r="A1994" i="3" s="1"/>
  <c r="E1995" i="3"/>
  <c r="A1995" i="3" s="1"/>
  <c r="E1996" i="3"/>
  <c r="A1996" i="3" s="1"/>
  <c r="E1997" i="3"/>
  <c r="A1997" i="3" s="1"/>
  <c r="E1998" i="3"/>
  <c r="A1998" i="3" s="1"/>
  <c r="E1999" i="3"/>
  <c r="A1999" i="3" s="1"/>
  <c r="E2000" i="3"/>
  <c r="A2000" i="3" s="1"/>
  <c r="E2001" i="3"/>
  <c r="A2001" i="3" s="1"/>
  <c r="E2002" i="3"/>
  <c r="A2002" i="3" s="1"/>
  <c r="E2003" i="3"/>
  <c r="A2003" i="3" s="1"/>
  <c r="E2004" i="3"/>
  <c r="A2004" i="3" s="1"/>
  <c r="E2005" i="3"/>
  <c r="A2005" i="3" s="1"/>
  <c r="E2006" i="3"/>
  <c r="A2006" i="3" s="1"/>
  <c r="E2007" i="3"/>
  <c r="A2007" i="3" s="1"/>
  <c r="E2008" i="3"/>
  <c r="A2008" i="3" s="1"/>
  <c r="E2009" i="3"/>
  <c r="A2009" i="3" s="1"/>
  <c r="E2010" i="3"/>
  <c r="A2010" i="3" s="1"/>
  <c r="E2011" i="3"/>
  <c r="A2011" i="3" s="1"/>
  <c r="E2012" i="3"/>
  <c r="A2012" i="3" s="1"/>
  <c r="E2013" i="3"/>
  <c r="A2013" i="3" s="1"/>
  <c r="E2014" i="3"/>
  <c r="A2014" i="3" s="1"/>
  <c r="E2015" i="3"/>
  <c r="A2015" i="3" s="1"/>
  <c r="E2016" i="3"/>
  <c r="A2016" i="3" s="1"/>
  <c r="E2017" i="3"/>
  <c r="A2017" i="3" s="1"/>
  <c r="E2018" i="3"/>
  <c r="A2018" i="3" s="1"/>
  <c r="E2019" i="3"/>
  <c r="A2019" i="3" s="1"/>
  <c r="E2020" i="3"/>
  <c r="A2020" i="3" s="1"/>
  <c r="E2021" i="3"/>
  <c r="A2021" i="3" s="1"/>
  <c r="E2022" i="3"/>
  <c r="A2022" i="3" s="1"/>
  <c r="E2023" i="3"/>
  <c r="A2023" i="3" s="1"/>
  <c r="E2024" i="3"/>
  <c r="A2024" i="3" s="1"/>
  <c r="E2025" i="3"/>
  <c r="A2025" i="3" s="1"/>
  <c r="E2026" i="3"/>
  <c r="A2026" i="3" s="1"/>
  <c r="E2027" i="3"/>
  <c r="A2027" i="3" s="1"/>
  <c r="E2028" i="3"/>
  <c r="A2028" i="3" s="1"/>
  <c r="E2029" i="3"/>
  <c r="A2029" i="3" s="1"/>
  <c r="E2030" i="3"/>
  <c r="A2030" i="3" s="1"/>
  <c r="E2031" i="3"/>
  <c r="A2031" i="3" s="1"/>
  <c r="E2032" i="3"/>
  <c r="A2032" i="3" s="1"/>
  <c r="E2033" i="3"/>
  <c r="A2033" i="3" s="1"/>
  <c r="E2034" i="3"/>
  <c r="A2034" i="3" s="1"/>
  <c r="E2035" i="3"/>
  <c r="A2035" i="3" s="1"/>
  <c r="E2036" i="3"/>
  <c r="A2036" i="3" s="1"/>
  <c r="E2037" i="3"/>
  <c r="A2037" i="3" s="1"/>
  <c r="E2038" i="3"/>
  <c r="A2038" i="3" s="1"/>
  <c r="E2039" i="3"/>
  <c r="A2039" i="3" s="1"/>
  <c r="E2040" i="3"/>
  <c r="A2040" i="3" s="1"/>
  <c r="E2041" i="3"/>
  <c r="A2041" i="3" s="1"/>
  <c r="E2042" i="3"/>
  <c r="A2042" i="3" s="1"/>
  <c r="E2043" i="3"/>
  <c r="A2043" i="3" s="1"/>
  <c r="E2044" i="3"/>
  <c r="A2044" i="3" s="1"/>
  <c r="E2045" i="3"/>
  <c r="A2045" i="3" s="1"/>
  <c r="E2046" i="3"/>
  <c r="A2046" i="3" s="1"/>
  <c r="E2047" i="3"/>
  <c r="A2047" i="3" s="1"/>
  <c r="E2048" i="3"/>
  <c r="A2048" i="3" s="1"/>
  <c r="E2049" i="3"/>
  <c r="A2049" i="3" s="1"/>
  <c r="E2050" i="3"/>
  <c r="A2050" i="3" s="1"/>
  <c r="E2051" i="3"/>
  <c r="A2051" i="3" s="1"/>
  <c r="E2052" i="3"/>
  <c r="A2052" i="3" s="1"/>
  <c r="E2053" i="3"/>
  <c r="A2053" i="3" s="1"/>
  <c r="E2054" i="3"/>
  <c r="A2054" i="3" s="1"/>
  <c r="E2055" i="3"/>
  <c r="A2055" i="3" s="1"/>
  <c r="E2056" i="3"/>
  <c r="A2056" i="3" s="1"/>
  <c r="E2057" i="3"/>
  <c r="A2057" i="3" s="1"/>
  <c r="E2058" i="3"/>
  <c r="A2058" i="3" s="1"/>
  <c r="E2059" i="3"/>
  <c r="A2059" i="3" s="1"/>
  <c r="E2060" i="3"/>
  <c r="A2060" i="3" s="1"/>
  <c r="E2061" i="3"/>
  <c r="A2061" i="3" s="1"/>
  <c r="E2062" i="3"/>
  <c r="A2062" i="3" s="1"/>
  <c r="E2063" i="3"/>
  <c r="A2063" i="3" s="1"/>
  <c r="E2064" i="3"/>
  <c r="A2064" i="3" s="1"/>
  <c r="E2065" i="3"/>
  <c r="A2065" i="3" s="1"/>
  <c r="E2066" i="3"/>
  <c r="A2066" i="3" s="1"/>
  <c r="E2067" i="3"/>
  <c r="A2067" i="3" s="1"/>
  <c r="E2068" i="3"/>
  <c r="A2068" i="3" s="1"/>
  <c r="E2069" i="3"/>
  <c r="A2069" i="3" s="1"/>
  <c r="E2070" i="3"/>
  <c r="A2070" i="3" s="1"/>
  <c r="E2071" i="3"/>
  <c r="A2071" i="3" s="1"/>
  <c r="E2072" i="3"/>
  <c r="A2072" i="3" s="1"/>
  <c r="E2073" i="3"/>
  <c r="A2073" i="3" s="1"/>
  <c r="E2074" i="3"/>
  <c r="A2074" i="3" s="1"/>
  <c r="E2075" i="3"/>
  <c r="A2075" i="3" s="1"/>
  <c r="E2076" i="3"/>
  <c r="A2076" i="3" s="1"/>
  <c r="E2077" i="3"/>
  <c r="A2077" i="3" s="1"/>
  <c r="E2078" i="3"/>
  <c r="A2078" i="3" s="1"/>
  <c r="E2079" i="3"/>
  <c r="A2079" i="3" s="1"/>
  <c r="E2080" i="3"/>
  <c r="A2080" i="3" s="1"/>
  <c r="E2081" i="3"/>
  <c r="A2081" i="3" s="1"/>
  <c r="E2082" i="3"/>
  <c r="A2082" i="3" s="1"/>
  <c r="E2083" i="3"/>
  <c r="A2083" i="3" s="1"/>
  <c r="E2084" i="3"/>
  <c r="A2084" i="3" s="1"/>
  <c r="E2085" i="3"/>
  <c r="A2085" i="3" s="1"/>
  <c r="E2086" i="3"/>
  <c r="A2086" i="3" s="1"/>
  <c r="E2087" i="3"/>
  <c r="A2087" i="3" s="1"/>
  <c r="E2088" i="3"/>
  <c r="A2088" i="3" s="1"/>
  <c r="E2089" i="3"/>
  <c r="A2089" i="3" s="1"/>
  <c r="E2090" i="3"/>
  <c r="A2090" i="3" s="1"/>
  <c r="E2091" i="3"/>
  <c r="A2091" i="3" s="1"/>
  <c r="E2092" i="3"/>
  <c r="A2092" i="3" s="1"/>
  <c r="E2093" i="3"/>
  <c r="A2093" i="3" s="1"/>
  <c r="E2094" i="3"/>
  <c r="A2094" i="3" s="1"/>
  <c r="E2095" i="3"/>
  <c r="A2095" i="3" s="1"/>
  <c r="E2096" i="3"/>
  <c r="A2096" i="3" s="1"/>
  <c r="E2097" i="3"/>
  <c r="A2097" i="3" s="1"/>
  <c r="E2098" i="3"/>
  <c r="A2098" i="3" s="1"/>
  <c r="E2099" i="3"/>
  <c r="A2099" i="3" s="1"/>
  <c r="E2100" i="3"/>
  <c r="A2100" i="3" s="1"/>
  <c r="E2101" i="3"/>
  <c r="A2101" i="3" s="1"/>
  <c r="E2102" i="3"/>
  <c r="A2102" i="3" s="1"/>
  <c r="E2103" i="3"/>
  <c r="A2103" i="3" s="1"/>
  <c r="E2104" i="3"/>
  <c r="A2104" i="3" s="1"/>
  <c r="E2105" i="3"/>
  <c r="A2105" i="3" s="1"/>
  <c r="E2106" i="3"/>
  <c r="A2106" i="3" s="1"/>
  <c r="E2107" i="3"/>
  <c r="A2107" i="3" s="1"/>
  <c r="E2108" i="3"/>
  <c r="A2108" i="3" s="1"/>
  <c r="E2109" i="3"/>
  <c r="A2109" i="3" s="1"/>
  <c r="E2110" i="3"/>
  <c r="A2110" i="3" s="1"/>
  <c r="E2111" i="3"/>
  <c r="A2111" i="3" s="1"/>
  <c r="E2112" i="3"/>
  <c r="A2112" i="3" s="1"/>
  <c r="E2113" i="3"/>
  <c r="A2113" i="3" s="1"/>
  <c r="E2114" i="3"/>
  <c r="A2114" i="3" s="1"/>
  <c r="E2115" i="3"/>
  <c r="A2115" i="3" s="1"/>
  <c r="E2116" i="3"/>
  <c r="A2116" i="3" s="1"/>
  <c r="E2117" i="3"/>
  <c r="A2117" i="3" s="1"/>
  <c r="E2118" i="3"/>
  <c r="A2118" i="3" s="1"/>
  <c r="E2119" i="3"/>
  <c r="A2119" i="3" s="1"/>
  <c r="E2120" i="3"/>
  <c r="A2120" i="3" s="1"/>
  <c r="E2121" i="3"/>
  <c r="A2121" i="3" s="1"/>
  <c r="E2122" i="3"/>
  <c r="A2122" i="3" s="1"/>
  <c r="E2123" i="3"/>
  <c r="A2123" i="3" s="1"/>
  <c r="E2124" i="3"/>
  <c r="A2124" i="3" s="1"/>
  <c r="E2125" i="3"/>
  <c r="A2125" i="3" s="1"/>
  <c r="E2126" i="3"/>
  <c r="A2126" i="3" s="1"/>
  <c r="E2127" i="3"/>
  <c r="A2127" i="3" s="1"/>
  <c r="E2128" i="3"/>
  <c r="A2128" i="3" s="1"/>
  <c r="E2129" i="3"/>
  <c r="A2129" i="3" s="1"/>
  <c r="E2130" i="3"/>
  <c r="A2130" i="3" s="1"/>
  <c r="E2131" i="3"/>
  <c r="A2131" i="3" s="1"/>
  <c r="E2132" i="3"/>
  <c r="A2132" i="3" s="1"/>
  <c r="E2133" i="3"/>
  <c r="A2133" i="3" s="1"/>
  <c r="E2134" i="3"/>
  <c r="A2134" i="3" s="1"/>
  <c r="E2135" i="3"/>
  <c r="A2135" i="3" s="1"/>
  <c r="E2136" i="3"/>
  <c r="A2136" i="3" s="1"/>
  <c r="E2137" i="3"/>
  <c r="A2137" i="3" s="1"/>
  <c r="E2138" i="3"/>
  <c r="A2138" i="3" s="1"/>
  <c r="E2139" i="3"/>
  <c r="A2139" i="3" s="1"/>
  <c r="E2140" i="3"/>
  <c r="A2140" i="3" s="1"/>
  <c r="E2141" i="3"/>
  <c r="A2141" i="3" s="1"/>
  <c r="E2142" i="3"/>
  <c r="A2142" i="3" s="1"/>
  <c r="E2143" i="3"/>
  <c r="A2143" i="3" s="1"/>
  <c r="E2144" i="3"/>
  <c r="A2144" i="3" s="1"/>
  <c r="E2145" i="3"/>
  <c r="A2145" i="3" s="1"/>
  <c r="E2146" i="3"/>
  <c r="A2146" i="3" s="1"/>
  <c r="E2147" i="3"/>
  <c r="A2147" i="3" s="1"/>
  <c r="E2148" i="3"/>
  <c r="A2148" i="3" s="1"/>
  <c r="E2149" i="3"/>
  <c r="A2149" i="3" s="1"/>
  <c r="E2150" i="3"/>
  <c r="A2150" i="3" s="1"/>
  <c r="E2151" i="3"/>
  <c r="A2151" i="3" s="1"/>
  <c r="E2152" i="3"/>
  <c r="A2152" i="3" s="1"/>
  <c r="E2153" i="3"/>
  <c r="A2153" i="3" s="1"/>
  <c r="E2154" i="3"/>
  <c r="A2154" i="3" s="1"/>
  <c r="E2155" i="3"/>
  <c r="A2155" i="3" s="1"/>
  <c r="E2156" i="3"/>
  <c r="A2156" i="3" s="1"/>
  <c r="E2157" i="3"/>
  <c r="A2157" i="3" s="1"/>
  <c r="E2158" i="3"/>
  <c r="A2158" i="3" s="1"/>
  <c r="E2159" i="3"/>
  <c r="A2159" i="3" s="1"/>
  <c r="E2160" i="3"/>
  <c r="A2160" i="3" s="1"/>
  <c r="E2161" i="3"/>
  <c r="A2161" i="3" s="1"/>
  <c r="E2162" i="3"/>
  <c r="A2162" i="3" s="1"/>
  <c r="E2163" i="3"/>
  <c r="A2163" i="3" s="1"/>
  <c r="E2164" i="3"/>
  <c r="A2164" i="3" s="1"/>
  <c r="E2165" i="3"/>
  <c r="A2165" i="3" s="1"/>
  <c r="E2166" i="3"/>
  <c r="A2166" i="3" s="1"/>
  <c r="E2167" i="3"/>
  <c r="A2167" i="3" s="1"/>
  <c r="E2168" i="3"/>
  <c r="A2168" i="3" s="1"/>
  <c r="E2169" i="3"/>
  <c r="A2169" i="3" s="1"/>
  <c r="E2170" i="3"/>
  <c r="A2170" i="3" s="1"/>
  <c r="E2171" i="3"/>
  <c r="A2171" i="3" s="1"/>
  <c r="E2172" i="3"/>
  <c r="A2172" i="3" s="1"/>
  <c r="E2173" i="3"/>
  <c r="A2173" i="3" s="1"/>
  <c r="E2174" i="3"/>
  <c r="A2174" i="3" s="1"/>
  <c r="E2175" i="3"/>
  <c r="A2175" i="3" s="1"/>
  <c r="E2176" i="3"/>
  <c r="A2176" i="3" s="1"/>
  <c r="E2177" i="3"/>
  <c r="A2177" i="3" s="1"/>
  <c r="E2178" i="3"/>
  <c r="A2178" i="3" s="1"/>
  <c r="E2179" i="3"/>
  <c r="A2179" i="3" s="1"/>
  <c r="E2180" i="3"/>
  <c r="A2180" i="3" s="1"/>
  <c r="E2181" i="3"/>
  <c r="A2181" i="3" s="1"/>
  <c r="E2182" i="3"/>
  <c r="A2182" i="3" s="1"/>
  <c r="E2183" i="3"/>
  <c r="A2183" i="3" s="1"/>
  <c r="E2184" i="3"/>
  <c r="A2184" i="3" s="1"/>
  <c r="E2185" i="3"/>
  <c r="A2185" i="3" s="1"/>
  <c r="E2186" i="3"/>
  <c r="A2186" i="3" s="1"/>
  <c r="E2187" i="3"/>
  <c r="A2187" i="3" s="1"/>
  <c r="E2188" i="3"/>
  <c r="A2188" i="3" s="1"/>
  <c r="E2189" i="3"/>
  <c r="A2189" i="3" s="1"/>
  <c r="E2190" i="3"/>
  <c r="A2190" i="3" s="1"/>
  <c r="E2191" i="3"/>
  <c r="A2191" i="3" s="1"/>
  <c r="E2192" i="3"/>
  <c r="A2192" i="3" s="1"/>
  <c r="E2193" i="3"/>
  <c r="A2193" i="3" s="1"/>
  <c r="E2194" i="3"/>
  <c r="A2194" i="3" s="1"/>
  <c r="E2195" i="3"/>
  <c r="A2195" i="3" s="1"/>
  <c r="E2196" i="3"/>
  <c r="A2196" i="3" s="1"/>
  <c r="E2197" i="3"/>
  <c r="A2197" i="3" s="1"/>
  <c r="E2198" i="3"/>
  <c r="A2198" i="3" s="1"/>
  <c r="E2199" i="3"/>
  <c r="A2199" i="3" s="1"/>
  <c r="E2200" i="3"/>
  <c r="A2200" i="3" s="1"/>
  <c r="E2201" i="3"/>
  <c r="A2201" i="3" s="1"/>
  <c r="E2202" i="3"/>
  <c r="A2202" i="3" s="1"/>
  <c r="E2203" i="3"/>
  <c r="A2203" i="3" s="1"/>
  <c r="E2204" i="3"/>
  <c r="A2204" i="3" s="1"/>
  <c r="E2205" i="3"/>
  <c r="A2205" i="3" s="1"/>
  <c r="E2206" i="3"/>
  <c r="A2206" i="3" s="1"/>
  <c r="E2207" i="3"/>
  <c r="A2207" i="3" s="1"/>
  <c r="E2208" i="3"/>
  <c r="A2208" i="3" s="1"/>
  <c r="E2209" i="3"/>
  <c r="A2209" i="3" s="1"/>
  <c r="E2210" i="3"/>
  <c r="A2210" i="3" s="1"/>
  <c r="E2211" i="3"/>
  <c r="A2211" i="3" s="1"/>
  <c r="E2212" i="3"/>
  <c r="A2212" i="3" s="1"/>
  <c r="E2213" i="3"/>
  <c r="A2213" i="3" s="1"/>
  <c r="E2214" i="3"/>
  <c r="A2214" i="3" s="1"/>
  <c r="E2215" i="3"/>
  <c r="A2215" i="3" s="1"/>
  <c r="E2216" i="3"/>
  <c r="A2216" i="3" s="1"/>
  <c r="E2217" i="3"/>
  <c r="A2217" i="3" s="1"/>
  <c r="E2218" i="3"/>
  <c r="A2218" i="3" s="1"/>
  <c r="E2219" i="3"/>
  <c r="A2219" i="3" s="1"/>
  <c r="E2220" i="3"/>
  <c r="A2220" i="3" s="1"/>
  <c r="E2221" i="3"/>
  <c r="A2221" i="3" s="1"/>
  <c r="E2222" i="3"/>
  <c r="A2222" i="3" s="1"/>
  <c r="E2223" i="3"/>
  <c r="A2223" i="3" s="1"/>
  <c r="E2224" i="3"/>
  <c r="A2224" i="3" s="1"/>
  <c r="E2225" i="3"/>
  <c r="A2225" i="3" s="1"/>
  <c r="E2226" i="3"/>
  <c r="A2226" i="3" s="1"/>
  <c r="E2227" i="3"/>
  <c r="A2227" i="3" s="1"/>
  <c r="E2228" i="3"/>
  <c r="A2228" i="3" s="1"/>
  <c r="E2229" i="3"/>
  <c r="A2229" i="3" s="1"/>
  <c r="E2230" i="3"/>
  <c r="A2230" i="3" s="1"/>
  <c r="E2231" i="3"/>
  <c r="A2231" i="3" s="1"/>
  <c r="E2232" i="3"/>
  <c r="A2232" i="3" s="1"/>
  <c r="E2233" i="3"/>
  <c r="A2233" i="3" s="1"/>
  <c r="E2234" i="3"/>
  <c r="A2234" i="3" s="1"/>
  <c r="E2235" i="3"/>
  <c r="A2235" i="3" s="1"/>
  <c r="E2236" i="3"/>
  <c r="A2236" i="3" s="1"/>
  <c r="E2237" i="3"/>
  <c r="A2237" i="3" s="1"/>
  <c r="E2238" i="3"/>
  <c r="A2238" i="3" s="1"/>
  <c r="E2239" i="3"/>
  <c r="A2239" i="3" s="1"/>
  <c r="E2240" i="3"/>
  <c r="A2240" i="3" s="1"/>
  <c r="E2241" i="3"/>
  <c r="A2241" i="3" s="1"/>
  <c r="E2242" i="3"/>
  <c r="A2242" i="3" s="1"/>
  <c r="E2243" i="3"/>
  <c r="A2243" i="3" s="1"/>
  <c r="E2244" i="3"/>
  <c r="A2244" i="3" s="1"/>
  <c r="E2245" i="3"/>
  <c r="A2245" i="3" s="1"/>
  <c r="E2246" i="3"/>
  <c r="A2246" i="3" s="1"/>
  <c r="E2247" i="3"/>
  <c r="A2247" i="3" s="1"/>
  <c r="E2248" i="3"/>
  <c r="A2248" i="3" s="1"/>
  <c r="E2249" i="3"/>
  <c r="A2249" i="3" s="1"/>
  <c r="E2250" i="3"/>
  <c r="A2250" i="3" s="1"/>
  <c r="E2251" i="3"/>
  <c r="A2251" i="3" s="1"/>
  <c r="E2252" i="3"/>
  <c r="A2252" i="3" s="1"/>
  <c r="E2253" i="3"/>
  <c r="A2253" i="3" s="1"/>
  <c r="E2254" i="3"/>
  <c r="A2254" i="3" s="1"/>
  <c r="E2255" i="3"/>
  <c r="A2255" i="3" s="1"/>
  <c r="E2256" i="3"/>
  <c r="A2256" i="3" s="1"/>
  <c r="E2257" i="3"/>
  <c r="A2257" i="3" s="1"/>
  <c r="E2258" i="3"/>
  <c r="A2258" i="3" s="1"/>
  <c r="E2259" i="3"/>
  <c r="A2259" i="3" s="1"/>
  <c r="E2260" i="3"/>
  <c r="A2260" i="3" s="1"/>
  <c r="E2261" i="3"/>
  <c r="A2261" i="3" s="1"/>
  <c r="E2262" i="3"/>
  <c r="A2262" i="3" s="1"/>
  <c r="E2263" i="3"/>
  <c r="A2263" i="3" s="1"/>
  <c r="E2264" i="3"/>
  <c r="A2264" i="3" s="1"/>
  <c r="E2265" i="3"/>
  <c r="A2265" i="3" s="1"/>
  <c r="E2266" i="3"/>
  <c r="A2266" i="3" s="1"/>
  <c r="E2267" i="3"/>
  <c r="A2267" i="3" s="1"/>
  <c r="E2268" i="3"/>
  <c r="A2268" i="3" s="1"/>
  <c r="E2269" i="3"/>
  <c r="A2269" i="3" s="1"/>
  <c r="E2270" i="3"/>
  <c r="A2270" i="3" s="1"/>
  <c r="E2271" i="3"/>
  <c r="A2271" i="3" s="1"/>
  <c r="E2272" i="3"/>
  <c r="A2272" i="3" s="1"/>
  <c r="E2273" i="3"/>
  <c r="A2273" i="3" s="1"/>
  <c r="E2274" i="3"/>
  <c r="A2274" i="3" s="1"/>
  <c r="E2275" i="3"/>
  <c r="A2275" i="3" s="1"/>
  <c r="E2276" i="3"/>
  <c r="A2276" i="3" s="1"/>
  <c r="E2277" i="3"/>
  <c r="A2277" i="3" s="1"/>
  <c r="E2278" i="3"/>
  <c r="A2278" i="3" s="1"/>
  <c r="E2279" i="3"/>
  <c r="A2279" i="3" s="1"/>
  <c r="E2280" i="3"/>
  <c r="A2280" i="3" s="1"/>
  <c r="E2281" i="3"/>
  <c r="A2281" i="3" s="1"/>
  <c r="E2282" i="3"/>
  <c r="A2282" i="3" s="1"/>
  <c r="E2283" i="3"/>
  <c r="A2283" i="3" s="1"/>
  <c r="E2284" i="3"/>
  <c r="A2284" i="3" s="1"/>
  <c r="E2285" i="3"/>
  <c r="A2285" i="3" s="1"/>
  <c r="E2286" i="3"/>
  <c r="A2286" i="3" s="1"/>
  <c r="E2287" i="3"/>
  <c r="A2287" i="3" s="1"/>
  <c r="E2288" i="3"/>
  <c r="A2288" i="3" s="1"/>
  <c r="E2289" i="3"/>
  <c r="A2289" i="3" s="1"/>
  <c r="E2290" i="3"/>
  <c r="A2290" i="3" s="1"/>
  <c r="E2291" i="3"/>
  <c r="A2291" i="3" s="1"/>
  <c r="E2292" i="3"/>
  <c r="A2292" i="3" s="1"/>
  <c r="E2293" i="3"/>
  <c r="A2293" i="3" s="1"/>
  <c r="E2294" i="3"/>
  <c r="A2294" i="3" s="1"/>
  <c r="E2295" i="3"/>
  <c r="A2295" i="3" s="1"/>
  <c r="E2296" i="3"/>
  <c r="A2296" i="3" s="1"/>
  <c r="E2297" i="3"/>
  <c r="A2297" i="3" s="1"/>
  <c r="E2298" i="3"/>
  <c r="A2298" i="3" s="1"/>
  <c r="E2299" i="3"/>
  <c r="A2299" i="3" s="1"/>
  <c r="E2300" i="3"/>
  <c r="A2300" i="3" s="1"/>
  <c r="E2301" i="3"/>
  <c r="A2301" i="3" s="1"/>
  <c r="E2302" i="3"/>
  <c r="A2302" i="3" s="1"/>
  <c r="E2303" i="3"/>
  <c r="A2303" i="3" s="1"/>
  <c r="E2304" i="3"/>
  <c r="A2304" i="3" s="1"/>
  <c r="E2305" i="3"/>
  <c r="A2305" i="3" s="1"/>
  <c r="E2306" i="3"/>
  <c r="A2306" i="3" s="1"/>
  <c r="E2307" i="3"/>
  <c r="A2307" i="3" s="1"/>
  <c r="E2308" i="3"/>
  <c r="A2308" i="3" s="1"/>
  <c r="E2309" i="3"/>
  <c r="A2309" i="3" s="1"/>
  <c r="E2310" i="3"/>
  <c r="A2310" i="3" s="1"/>
  <c r="E2311" i="3"/>
  <c r="A2311" i="3" s="1"/>
  <c r="E2312" i="3"/>
  <c r="A2312" i="3" s="1"/>
  <c r="E2313" i="3"/>
  <c r="A2313" i="3" s="1"/>
  <c r="E2314" i="3"/>
  <c r="A2314" i="3" s="1"/>
  <c r="E2315" i="3"/>
  <c r="A2315" i="3" s="1"/>
  <c r="E2316" i="3"/>
  <c r="A2316" i="3" s="1"/>
  <c r="E2317" i="3"/>
  <c r="A2317" i="3" s="1"/>
  <c r="E2318" i="3"/>
  <c r="A2318" i="3" s="1"/>
  <c r="E2319" i="3"/>
  <c r="A2319" i="3" s="1"/>
  <c r="E2320" i="3"/>
  <c r="A2320" i="3" s="1"/>
  <c r="E2321" i="3"/>
  <c r="A2321" i="3" s="1"/>
  <c r="E2322" i="3"/>
  <c r="A2322" i="3" s="1"/>
  <c r="E2323" i="3"/>
  <c r="A2323" i="3" s="1"/>
  <c r="E2324" i="3"/>
  <c r="A2324" i="3" s="1"/>
  <c r="E2325" i="3"/>
  <c r="A2325" i="3" s="1"/>
  <c r="E2326" i="3"/>
  <c r="A2326" i="3" s="1"/>
  <c r="E2327" i="3"/>
  <c r="A2327" i="3" s="1"/>
  <c r="E2328" i="3"/>
  <c r="A2328" i="3" s="1"/>
  <c r="E2329" i="3"/>
  <c r="A2329" i="3" s="1"/>
  <c r="E2330" i="3"/>
  <c r="A2330" i="3" s="1"/>
  <c r="E2331" i="3"/>
  <c r="A2331" i="3" s="1"/>
  <c r="E2332" i="3"/>
  <c r="A2332" i="3" s="1"/>
  <c r="E2333" i="3"/>
  <c r="A2333" i="3" s="1"/>
  <c r="E2334" i="3"/>
  <c r="A2334" i="3" s="1"/>
  <c r="E2335" i="3"/>
  <c r="A2335" i="3" s="1"/>
  <c r="E2336" i="3"/>
  <c r="A2336" i="3" s="1"/>
  <c r="E2337" i="3"/>
  <c r="A2337" i="3" s="1"/>
  <c r="E2338" i="3"/>
  <c r="A2338" i="3" s="1"/>
  <c r="E2339" i="3"/>
  <c r="A2339" i="3" s="1"/>
  <c r="E2340" i="3"/>
  <c r="A2340" i="3" s="1"/>
  <c r="E2341" i="3"/>
  <c r="A2341" i="3" s="1"/>
  <c r="E2342" i="3"/>
  <c r="A2342" i="3" s="1"/>
  <c r="E2343" i="3"/>
  <c r="A2343" i="3" s="1"/>
  <c r="E2344" i="3"/>
  <c r="A2344" i="3" s="1"/>
  <c r="E2345" i="3"/>
  <c r="A2345" i="3" s="1"/>
  <c r="E2346" i="3"/>
  <c r="A2346" i="3" s="1"/>
  <c r="E2347" i="3"/>
  <c r="A2347" i="3" s="1"/>
  <c r="E2348" i="3"/>
  <c r="A2348" i="3" s="1"/>
  <c r="E2349" i="3"/>
  <c r="A2349" i="3" s="1"/>
  <c r="E2350" i="3"/>
  <c r="A2350" i="3" s="1"/>
  <c r="E2351" i="3"/>
  <c r="A2351" i="3" s="1"/>
  <c r="E2352" i="3"/>
  <c r="A2352" i="3" s="1"/>
  <c r="E2353" i="3"/>
  <c r="A2353" i="3" s="1"/>
  <c r="E2354" i="3"/>
  <c r="A2354" i="3" s="1"/>
  <c r="E2355" i="3"/>
  <c r="A2355" i="3" s="1"/>
  <c r="E2356" i="3"/>
  <c r="A2356" i="3" s="1"/>
  <c r="E2357" i="3"/>
  <c r="A2357" i="3" s="1"/>
  <c r="E2358" i="3"/>
  <c r="A2358" i="3" s="1"/>
  <c r="E2359" i="3"/>
  <c r="A2359" i="3" s="1"/>
  <c r="E2360" i="3"/>
  <c r="A2360" i="3" s="1"/>
  <c r="E2361" i="3"/>
  <c r="A2361" i="3" s="1"/>
  <c r="E2362" i="3"/>
  <c r="A2362" i="3" s="1"/>
  <c r="E2363" i="3"/>
  <c r="A2363" i="3" s="1"/>
  <c r="E2364" i="3"/>
  <c r="A2364" i="3" s="1"/>
  <c r="E2365" i="3"/>
  <c r="A2365" i="3" s="1"/>
  <c r="E2366" i="3"/>
  <c r="A2366" i="3" s="1"/>
  <c r="E2367" i="3"/>
  <c r="A2367" i="3" s="1"/>
  <c r="E2368" i="3"/>
  <c r="A2368" i="3" s="1"/>
  <c r="E2369" i="3"/>
  <c r="A2369" i="3" s="1"/>
  <c r="E2370" i="3"/>
  <c r="A2370" i="3" s="1"/>
  <c r="E2371" i="3"/>
  <c r="A2371" i="3" s="1"/>
  <c r="E2372" i="3"/>
  <c r="A2372" i="3" s="1"/>
  <c r="E2373" i="3"/>
  <c r="A2373" i="3" s="1"/>
  <c r="E2374" i="3"/>
  <c r="A2374" i="3" s="1"/>
  <c r="E2375" i="3"/>
  <c r="A2375" i="3" s="1"/>
  <c r="E2376" i="3"/>
  <c r="A2376" i="3" s="1"/>
  <c r="E2377" i="3"/>
  <c r="A2377" i="3" s="1"/>
  <c r="E2378" i="3"/>
  <c r="A2378" i="3" s="1"/>
  <c r="E2379" i="3"/>
  <c r="A2379" i="3" s="1"/>
  <c r="E2380" i="3"/>
  <c r="A2380" i="3" s="1"/>
  <c r="E2381" i="3"/>
  <c r="A2381" i="3" s="1"/>
  <c r="E2382" i="3"/>
  <c r="A2382" i="3" s="1"/>
  <c r="E2383" i="3"/>
  <c r="A2383" i="3" s="1"/>
  <c r="E2384" i="3"/>
  <c r="A2384" i="3" s="1"/>
  <c r="E2385" i="3"/>
  <c r="A2385" i="3" s="1"/>
  <c r="E2386" i="3"/>
  <c r="A2386" i="3" s="1"/>
  <c r="E2387" i="3"/>
  <c r="A2387" i="3" s="1"/>
  <c r="E2388" i="3"/>
  <c r="A2388" i="3" s="1"/>
  <c r="E2389" i="3"/>
  <c r="A2389" i="3" s="1"/>
  <c r="E2390" i="3"/>
  <c r="A2390" i="3" s="1"/>
  <c r="E2391" i="3"/>
  <c r="A2391" i="3" s="1"/>
  <c r="E2392" i="3"/>
  <c r="A2392" i="3" s="1"/>
  <c r="E2393" i="3"/>
  <c r="A2393" i="3" s="1"/>
  <c r="E2394" i="3"/>
  <c r="A2394" i="3" s="1"/>
  <c r="E2395" i="3"/>
  <c r="A2395" i="3" s="1"/>
  <c r="E2396" i="3"/>
  <c r="A2396" i="3" s="1"/>
  <c r="E2397" i="3"/>
  <c r="A2397" i="3" s="1"/>
  <c r="E2398" i="3"/>
  <c r="A2398" i="3" s="1"/>
  <c r="E2399" i="3"/>
  <c r="A2399" i="3" s="1"/>
  <c r="E2400" i="3"/>
  <c r="A2400" i="3" s="1"/>
  <c r="E2401" i="3"/>
  <c r="A2401" i="3" s="1"/>
  <c r="E2402" i="3"/>
  <c r="A2402" i="3" s="1"/>
  <c r="E2403" i="3"/>
  <c r="A2403" i="3" s="1"/>
  <c r="E2404" i="3"/>
  <c r="A2404" i="3" s="1"/>
  <c r="E2405" i="3"/>
  <c r="A2405" i="3" s="1"/>
  <c r="E2406" i="3"/>
  <c r="A2406" i="3" s="1"/>
  <c r="E2407" i="3"/>
  <c r="A2407" i="3" s="1"/>
  <c r="E2408" i="3"/>
  <c r="A2408" i="3" s="1"/>
  <c r="E2409" i="3"/>
  <c r="A2409" i="3" s="1"/>
  <c r="E2410" i="3"/>
  <c r="A2410" i="3" s="1"/>
  <c r="E2411" i="3"/>
  <c r="A2411" i="3" s="1"/>
  <c r="E2412" i="3"/>
  <c r="A2412" i="3" s="1"/>
  <c r="E2413" i="3"/>
  <c r="A2413" i="3" s="1"/>
  <c r="E2414" i="3"/>
  <c r="A2414" i="3" s="1"/>
  <c r="E2415" i="3"/>
  <c r="A2415" i="3" s="1"/>
  <c r="E2416" i="3"/>
  <c r="A2416" i="3" s="1"/>
  <c r="E2417" i="3"/>
  <c r="A2417" i="3" s="1"/>
  <c r="E2418" i="3"/>
  <c r="A2418" i="3" s="1"/>
  <c r="E2419" i="3"/>
  <c r="A2419" i="3" s="1"/>
  <c r="E2420" i="3"/>
  <c r="A2420" i="3" s="1"/>
  <c r="E2421" i="3"/>
  <c r="A2421" i="3" s="1"/>
  <c r="E2422" i="3"/>
  <c r="A2422" i="3" s="1"/>
  <c r="E2423" i="3"/>
  <c r="A2423" i="3" s="1"/>
  <c r="E2424" i="3"/>
  <c r="A2424" i="3" s="1"/>
  <c r="E2425" i="3"/>
  <c r="A2425" i="3" s="1"/>
  <c r="E2426" i="3"/>
  <c r="A2426" i="3" s="1"/>
  <c r="E2427" i="3"/>
  <c r="A2427" i="3" s="1"/>
  <c r="E2428" i="3"/>
  <c r="A2428" i="3" s="1"/>
  <c r="E2429" i="3"/>
  <c r="A2429" i="3" s="1"/>
  <c r="E2430" i="3"/>
  <c r="A2430" i="3" s="1"/>
  <c r="E2431" i="3"/>
  <c r="A2431" i="3" s="1"/>
  <c r="E2432" i="3"/>
  <c r="A2432" i="3" s="1"/>
  <c r="E2433" i="3"/>
  <c r="A2433" i="3" s="1"/>
  <c r="E2434" i="3"/>
  <c r="A2434" i="3" s="1"/>
  <c r="E2435" i="3"/>
  <c r="A2435" i="3" s="1"/>
  <c r="E2436" i="3"/>
  <c r="A2436" i="3" s="1"/>
  <c r="E2437" i="3"/>
  <c r="A2437" i="3" s="1"/>
  <c r="E2438" i="3"/>
  <c r="A2438" i="3" s="1"/>
  <c r="E2439" i="3"/>
  <c r="A2439" i="3" s="1"/>
  <c r="E2440" i="3"/>
  <c r="A2440" i="3" s="1"/>
  <c r="E2441" i="3"/>
  <c r="A2441" i="3" s="1"/>
  <c r="E2442" i="3"/>
  <c r="A2442" i="3" s="1"/>
  <c r="E2443" i="3"/>
  <c r="A2443" i="3" s="1"/>
  <c r="E2444" i="3"/>
  <c r="A2444" i="3" s="1"/>
  <c r="E2445" i="3"/>
  <c r="A2445" i="3" s="1"/>
  <c r="E2446" i="3"/>
  <c r="A2446" i="3" s="1"/>
  <c r="E2447" i="3"/>
  <c r="A2447" i="3" s="1"/>
  <c r="E2448" i="3"/>
  <c r="A2448" i="3" s="1"/>
  <c r="E2449" i="3"/>
  <c r="A2449" i="3" s="1"/>
  <c r="E2450" i="3"/>
  <c r="A2450" i="3" s="1"/>
  <c r="E2451" i="3"/>
  <c r="A2451" i="3" s="1"/>
  <c r="E2452" i="3"/>
  <c r="A2452" i="3" s="1"/>
  <c r="E2453" i="3"/>
  <c r="A2453" i="3" s="1"/>
  <c r="E2454" i="3"/>
  <c r="A2454" i="3" s="1"/>
  <c r="E2455" i="3"/>
  <c r="A2455" i="3" s="1"/>
  <c r="E2456" i="3"/>
  <c r="A2456" i="3" s="1"/>
  <c r="E2457" i="3"/>
  <c r="A2457" i="3" s="1"/>
  <c r="E2458" i="3"/>
  <c r="A2458" i="3" s="1"/>
  <c r="E2459" i="3"/>
  <c r="A2459" i="3" s="1"/>
  <c r="E2460" i="3"/>
  <c r="A2460" i="3" s="1"/>
  <c r="E2461" i="3"/>
  <c r="A2461" i="3" s="1"/>
  <c r="E2462" i="3"/>
  <c r="A2462" i="3" s="1"/>
  <c r="E2463" i="3"/>
  <c r="A2463" i="3" s="1"/>
  <c r="E2464" i="3"/>
  <c r="A2464" i="3" s="1"/>
  <c r="E2465" i="3"/>
  <c r="A2465" i="3" s="1"/>
  <c r="E2466" i="3"/>
  <c r="A2466" i="3" s="1"/>
  <c r="E2467" i="3"/>
  <c r="A2467" i="3" s="1"/>
  <c r="E2468" i="3"/>
  <c r="A2468" i="3" s="1"/>
  <c r="E2469" i="3"/>
  <c r="A2469" i="3" s="1"/>
  <c r="E2470" i="3"/>
  <c r="A2470" i="3" s="1"/>
  <c r="E2471" i="3"/>
  <c r="A2471" i="3" s="1"/>
  <c r="E2472" i="3"/>
  <c r="A2472" i="3" s="1"/>
  <c r="E2473" i="3"/>
  <c r="A2473" i="3" s="1"/>
  <c r="E2474" i="3"/>
  <c r="A2474" i="3" s="1"/>
  <c r="E2475" i="3"/>
  <c r="A2475" i="3" s="1"/>
  <c r="E2476" i="3"/>
  <c r="A2476" i="3" s="1"/>
  <c r="E2477" i="3"/>
  <c r="A2477" i="3" s="1"/>
  <c r="E2478" i="3"/>
  <c r="A2478" i="3" s="1"/>
  <c r="E2479" i="3"/>
  <c r="A2479" i="3" s="1"/>
  <c r="E2480" i="3"/>
  <c r="A2480" i="3" s="1"/>
  <c r="E2481" i="3"/>
  <c r="A2481" i="3" s="1"/>
  <c r="E2482" i="3"/>
  <c r="A2482" i="3" s="1"/>
  <c r="E2483" i="3"/>
  <c r="A2483" i="3" s="1"/>
  <c r="E2484" i="3"/>
  <c r="A2484" i="3" s="1"/>
  <c r="E2485" i="3"/>
  <c r="A2485" i="3" s="1"/>
  <c r="E2486" i="3"/>
  <c r="A2486" i="3" s="1"/>
  <c r="E2487" i="3"/>
  <c r="A2487" i="3" s="1"/>
  <c r="E2488" i="3"/>
  <c r="A2488" i="3" s="1"/>
  <c r="E2489" i="3"/>
  <c r="A2489" i="3" s="1"/>
  <c r="E2490" i="3"/>
  <c r="A2490" i="3" s="1"/>
  <c r="E2491" i="3"/>
  <c r="A2491" i="3" s="1"/>
  <c r="E2492" i="3"/>
  <c r="A2492" i="3" s="1"/>
  <c r="E2493" i="3"/>
  <c r="A2493" i="3" s="1"/>
  <c r="E2494" i="3"/>
  <c r="A2494" i="3" s="1"/>
  <c r="E2495" i="3"/>
  <c r="A2495" i="3" s="1"/>
  <c r="E2496" i="3"/>
  <c r="A2496" i="3" s="1"/>
  <c r="E2497" i="3"/>
  <c r="A2497" i="3" s="1"/>
  <c r="E2498" i="3"/>
  <c r="A2498" i="3" s="1"/>
  <c r="E2499" i="3"/>
  <c r="A2499" i="3" s="1"/>
  <c r="E2500" i="3"/>
  <c r="A2500" i="3" s="1"/>
  <c r="E2501" i="3"/>
  <c r="A2501" i="3" s="1"/>
  <c r="E2502" i="3"/>
  <c r="A2502" i="3" s="1"/>
  <c r="E2503" i="3"/>
  <c r="A2503" i="3" s="1"/>
  <c r="E2504" i="3"/>
  <c r="A2504" i="3" s="1"/>
  <c r="E2505" i="3"/>
  <c r="A2505" i="3" s="1"/>
  <c r="E2506" i="3"/>
  <c r="A2506" i="3" s="1"/>
  <c r="E2507" i="3"/>
  <c r="A2507" i="3" s="1"/>
  <c r="E2508" i="3"/>
  <c r="A2508" i="3" s="1"/>
  <c r="E2509" i="3"/>
  <c r="A2509" i="3" s="1"/>
  <c r="E2510" i="3"/>
  <c r="A2510" i="3" s="1"/>
  <c r="E2511" i="3"/>
  <c r="A2511" i="3" s="1"/>
  <c r="E2512" i="3"/>
  <c r="A2512" i="3" s="1"/>
  <c r="E2513" i="3"/>
  <c r="A2513" i="3" s="1"/>
  <c r="E2514" i="3"/>
  <c r="A2514" i="3" s="1"/>
  <c r="E2515" i="3"/>
  <c r="A2515" i="3" s="1"/>
  <c r="E2516" i="3"/>
  <c r="A2516" i="3" s="1"/>
  <c r="E2517" i="3"/>
  <c r="A2517" i="3" s="1"/>
  <c r="E2518" i="3"/>
  <c r="A2518" i="3" s="1"/>
  <c r="E2519" i="3"/>
  <c r="A2519" i="3" s="1"/>
  <c r="E2520" i="3"/>
  <c r="A2520" i="3" s="1"/>
  <c r="E2521" i="3"/>
  <c r="A2521" i="3" s="1"/>
  <c r="E2522" i="3"/>
  <c r="A2522" i="3" s="1"/>
  <c r="E2523" i="3"/>
  <c r="A2523" i="3" s="1"/>
  <c r="E2524" i="3"/>
  <c r="A2524" i="3" s="1"/>
  <c r="E2525" i="3"/>
  <c r="A2525" i="3" s="1"/>
  <c r="E2526" i="3"/>
  <c r="A2526" i="3" s="1"/>
  <c r="E2527" i="3"/>
  <c r="A2527" i="3" s="1"/>
  <c r="E2528" i="3"/>
  <c r="A2528" i="3" s="1"/>
  <c r="E2529" i="3"/>
  <c r="A2529" i="3" s="1"/>
  <c r="E2530" i="3"/>
  <c r="A2530" i="3" s="1"/>
  <c r="E2531" i="3"/>
  <c r="A2531" i="3" s="1"/>
  <c r="E2532" i="3"/>
  <c r="A2532" i="3" s="1"/>
  <c r="E2533" i="3"/>
  <c r="A2533" i="3" s="1"/>
  <c r="E2534" i="3"/>
  <c r="A2534" i="3" s="1"/>
  <c r="E2535" i="3"/>
  <c r="A2535" i="3" s="1"/>
  <c r="E2536" i="3"/>
  <c r="A2536" i="3" s="1"/>
  <c r="E2537" i="3"/>
  <c r="A2537" i="3" s="1"/>
  <c r="E2538" i="3"/>
  <c r="A2538" i="3" s="1"/>
  <c r="E2539" i="3"/>
  <c r="A2539" i="3" s="1"/>
  <c r="E2540" i="3"/>
  <c r="A2540" i="3" s="1"/>
  <c r="E2541" i="3"/>
  <c r="A2541" i="3" s="1"/>
  <c r="E2542" i="3"/>
  <c r="A2542" i="3" s="1"/>
  <c r="E2543" i="3"/>
  <c r="A2543" i="3" s="1"/>
  <c r="E2544" i="3"/>
  <c r="A2544" i="3" s="1"/>
  <c r="E2545" i="3"/>
  <c r="A2545" i="3" s="1"/>
  <c r="E2546" i="3"/>
  <c r="A2546" i="3" s="1"/>
  <c r="E2547" i="3"/>
  <c r="A2547" i="3" s="1"/>
  <c r="E2548" i="3"/>
  <c r="A2548" i="3" s="1"/>
  <c r="E2549" i="3"/>
  <c r="A2549" i="3" s="1"/>
  <c r="E2550" i="3"/>
  <c r="A2550" i="3" s="1"/>
  <c r="E2551" i="3"/>
  <c r="A2551" i="3" s="1"/>
  <c r="E2552" i="3"/>
  <c r="A2552" i="3" s="1"/>
  <c r="E2553" i="3"/>
  <c r="A2553" i="3" s="1"/>
  <c r="E2554" i="3"/>
  <c r="A2554" i="3" s="1"/>
  <c r="E2555" i="3"/>
  <c r="A2555" i="3" s="1"/>
  <c r="E2556" i="3"/>
  <c r="A2556" i="3" s="1"/>
  <c r="E2557" i="3"/>
  <c r="A2557" i="3" s="1"/>
  <c r="E2558" i="3"/>
  <c r="A2558" i="3" s="1"/>
  <c r="E2559" i="3"/>
  <c r="A2559" i="3" s="1"/>
  <c r="E2560" i="3"/>
  <c r="A2560" i="3" s="1"/>
  <c r="E2561" i="3"/>
  <c r="A2561" i="3" s="1"/>
  <c r="E2562" i="3"/>
  <c r="A2562" i="3" s="1"/>
  <c r="E2563" i="3"/>
  <c r="A2563" i="3" s="1"/>
  <c r="E2564" i="3"/>
  <c r="A2564" i="3" s="1"/>
  <c r="E2565" i="3"/>
  <c r="A2565" i="3" s="1"/>
  <c r="E2566" i="3"/>
  <c r="A2566" i="3" s="1"/>
  <c r="E2567" i="3"/>
  <c r="A2567" i="3" s="1"/>
  <c r="E2568" i="3"/>
  <c r="A2568" i="3" s="1"/>
  <c r="E2569" i="3"/>
  <c r="A2569" i="3" s="1"/>
  <c r="E2570" i="3"/>
  <c r="A2570" i="3" s="1"/>
  <c r="E2571" i="3"/>
  <c r="A2571" i="3" s="1"/>
  <c r="E2572" i="3"/>
  <c r="A2572" i="3" s="1"/>
  <c r="E2573" i="3"/>
  <c r="A2573" i="3" s="1"/>
  <c r="E2574" i="3"/>
  <c r="A2574" i="3" s="1"/>
  <c r="E2575" i="3"/>
  <c r="A2575" i="3" s="1"/>
  <c r="E2576" i="3"/>
  <c r="A2576" i="3" s="1"/>
  <c r="E2577" i="3"/>
  <c r="A2577" i="3" s="1"/>
  <c r="E2578" i="3"/>
  <c r="A2578" i="3" s="1"/>
  <c r="E2579" i="3"/>
  <c r="A2579" i="3" s="1"/>
  <c r="E2580" i="3"/>
  <c r="A2580" i="3" s="1"/>
  <c r="E2581" i="3"/>
  <c r="A2581" i="3" s="1"/>
  <c r="E2582" i="3"/>
  <c r="A2582" i="3" s="1"/>
  <c r="E2583" i="3"/>
  <c r="A2583" i="3" s="1"/>
  <c r="E2584" i="3"/>
  <c r="A2584" i="3" s="1"/>
  <c r="E2585" i="3"/>
  <c r="A2585" i="3" s="1"/>
  <c r="E2586" i="3"/>
  <c r="A2586" i="3" s="1"/>
  <c r="E2587" i="3"/>
  <c r="A2587" i="3" s="1"/>
  <c r="E2588" i="3"/>
  <c r="A2588" i="3" s="1"/>
  <c r="E2589" i="3"/>
  <c r="A2589" i="3" s="1"/>
  <c r="E2590" i="3"/>
  <c r="A2590" i="3" s="1"/>
  <c r="E2591" i="3"/>
  <c r="A2591" i="3" s="1"/>
  <c r="E2592" i="3"/>
  <c r="A2592" i="3" s="1"/>
  <c r="E2593" i="3"/>
  <c r="A2593" i="3" s="1"/>
  <c r="E2594" i="3"/>
  <c r="A2594" i="3" s="1"/>
  <c r="E2595" i="3"/>
  <c r="A2595" i="3" s="1"/>
  <c r="E2596" i="3"/>
  <c r="A2596" i="3" s="1"/>
  <c r="E2597" i="3"/>
  <c r="A2597" i="3" s="1"/>
  <c r="E2598" i="3"/>
  <c r="A2598" i="3" s="1"/>
  <c r="E2599" i="3"/>
  <c r="A2599" i="3" s="1"/>
  <c r="E2600" i="3"/>
  <c r="A2600" i="3" s="1"/>
  <c r="E2601" i="3"/>
  <c r="A2601" i="3" s="1"/>
  <c r="E2602" i="3"/>
  <c r="A2602" i="3" s="1"/>
  <c r="E2603" i="3"/>
  <c r="A2603" i="3" s="1"/>
  <c r="E2604" i="3"/>
  <c r="A2604" i="3" s="1"/>
  <c r="E2605" i="3"/>
  <c r="A2605" i="3" s="1"/>
  <c r="E2606" i="3"/>
  <c r="A2606" i="3" s="1"/>
  <c r="E2607" i="3"/>
  <c r="A2607" i="3" s="1"/>
  <c r="E2608" i="3"/>
  <c r="A2608" i="3" s="1"/>
  <c r="E2609" i="3"/>
  <c r="A2609" i="3" s="1"/>
  <c r="E2610" i="3"/>
  <c r="A2610" i="3" s="1"/>
  <c r="E2611" i="3"/>
  <c r="A2611" i="3" s="1"/>
  <c r="E2612" i="3"/>
  <c r="A2612" i="3" s="1"/>
  <c r="E2613" i="3"/>
  <c r="A2613" i="3" s="1"/>
  <c r="E2614" i="3"/>
  <c r="A2614" i="3" s="1"/>
  <c r="E2615" i="3"/>
  <c r="A2615" i="3" s="1"/>
  <c r="E2616" i="3"/>
  <c r="A2616" i="3" s="1"/>
  <c r="E2617" i="3"/>
  <c r="A2617" i="3" s="1"/>
  <c r="E2618" i="3"/>
  <c r="A2618" i="3" s="1"/>
  <c r="E2619" i="3"/>
  <c r="A2619" i="3" s="1"/>
  <c r="E2620" i="3"/>
  <c r="A2620" i="3" s="1"/>
  <c r="E2621" i="3"/>
  <c r="A2621" i="3" s="1"/>
  <c r="E2622" i="3"/>
  <c r="A2622" i="3" s="1"/>
  <c r="E2623" i="3"/>
  <c r="A2623" i="3" s="1"/>
  <c r="E2624" i="3"/>
  <c r="A2624" i="3" s="1"/>
  <c r="E2625" i="3"/>
  <c r="A2625" i="3" s="1"/>
  <c r="E2626" i="3"/>
  <c r="A2626" i="3" s="1"/>
  <c r="E2627" i="3"/>
  <c r="A2627" i="3" s="1"/>
  <c r="E2628" i="3"/>
  <c r="A2628" i="3" s="1"/>
  <c r="E2629" i="3"/>
  <c r="A2629" i="3" s="1"/>
  <c r="E2630" i="3"/>
  <c r="A2630" i="3" s="1"/>
  <c r="E2631" i="3"/>
  <c r="A2631" i="3" s="1"/>
  <c r="E2632" i="3"/>
  <c r="A2632" i="3" s="1"/>
  <c r="E2633" i="3"/>
  <c r="A2633" i="3" s="1"/>
  <c r="E2634" i="3"/>
  <c r="A2634" i="3" s="1"/>
  <c r="E2635" i="3"/>
  <c r="A2635" i="3" s="1"/>
  <c r="E2636" i="3"/>
  <c r="A2636" i="3" s="1"/>
  <c r="E2637" i="3"/>
  <c r="A2637" i="3" s="1"/>
  <c r="E2638" i="3"/>
  <c r="A2638" i="3" s="1"/>
  <c r="E2639" i="3"/>
  <c r="A2639" i="3" s="1"/>
  <c r="E2640" i="3"/>
  <c r="A2640" i="3" s="1"/>
  <c r="E2641" i="3"/>
  <c r="A2641" i="3" s="1"/>
  <c r="E2642" i="3"/>
  <c r="A2642" i="3" s="1"/>
  <c r="E2643" i="3"/>
  <c r="A2643" i="3" s="1"/>
  <c r="E2644" i="3"/>
  <c r="A2644" i="3" s="1"/>
  <c r="E2645" i="3"/>
  <c r="A2645" i="3" s="1"/>
  <c r="E2646" i="3"/>
  <c r="A2646" i="3" s="1"/>
  <c r="E2647" i="3"/>
  <c r="A2647" i="3" s="1"/>
  <c r="E2648" i="3"/>
  <c r="A2648" i="3" s="1"/>
  <c r="E2649" i="3"/>
  <c r="A2649" i="3" s="1"/>
  <c r="E2650" i="3"/>
  <c r="A2650" i="3" s="1"/>
  <c r="E2651" i="3"/>
  <c r="A2651" i="3" s="1"/>
  <c r="E2652" i="3"/>
  <c r="A2652" i="3" s="1"/>
  <c r="E2653" i="3"/>
  <c r="A2653" i="3" s="1"/>
  <c r="E2654" i="3"/>
  <c r="A2654" i="3" s="1"/>
  <c r="E2655" i="3"/>
  <c r="A2655" i="3" s="1"/>
  <c r="E2656" i="3"/>
  <c r="A2656" i="3" s="1"/>
  <c r="E2657" i="3"/>
  <c r="A2657" i="3" s="1"/>
  <c r="E2658" i="3"/>
  <c r="A2658" i="3" s="1"/>
  <c r="E2659" i="3"/>
  <c r="A2659" i="3" s="1"/>
  <c r="E2660" i="3"/>
  <c r="A2660" i="3" s="1"/>
  <c r="E2661" i="3"/>
  <c r="A2661" i="3" s="1"/>
  <c r="E2662" i="3"/>
  <c r="A2662" i="3" s="1"/>
  <c r="E2663" i="3"/>
  <c r="A2663" i="3" s="1"/>
  <c r="E2664" i="3"/>
  <c r="A2664" i="3" s="1"/>
  <c r="E2665" i="3"/>
  <c r="A2665" i="3" s="1"/>
  <c r="E2666" i="3"/>
  <c r="A2666" i="3" s="1"/>
  <c r="E2667" i="3"/>
  <c r="A2667" i="3" s="1"/>
  <c r="E2668" i="3"/>
  <c r="A2668" i="3" s="1"/>
  <c r="E2669" i="3"/>
  <c r="A2669" i="3" s="1"/>
  <c r="E2670" i="3"/>
  <c r="A2670" i="3" s="1"/>
  <c r="E2671" i="3"/>
  <c r="A2671" i="3" s="1"/>
  <c r="E2672" i="3"/>
  <c r="A2672" i="3" s="1"/>
  <c r="E2673" i="3"/>
  <c r="A2673" i="3" s="1"/>
  <c r="E2674" i="3"/>
  <c r="A2674" i="3" s="1"/>
  <c r="E2675" i="3"/>
  <c r="A2675" i="3" s="1"/>
  <c r="E2676" i="3"/>
  <c r="A2676" i="3" s="1"/>
  <c r="E2677" i="3"/>
  <c r="A2677" i="3" s="1"/>
  <c r="E2678" i="3"/>
  <c r="A2678" i="3" s="1"/>
  <c r="E2679" i="3"/>
  <c r="A2679" i="3" s="1"/>
  <c r="E2680" i="3"/>
  <c r="A2680" i="3" s="1"/>
  <c r="E2681" i="3"/>
  <c r="A2681" i="3" s="1"/>
  <c r="E2682" i="3"/>
  <c r="A2682" i="3" s="1"/>
  <c r="E2683" i="3"/>
  <c r="A2683" i="3" s="1"/>
  <c r="E2684" i="3"/>
  <c r="A2684" i="3" s="1"/>
  <c r="E2685" i="3"/>
  <c r="A2685" i="3" s="1"/>
  <c r="E2686" i="3"/>
  <c r="A2686" i="3" s="1"/>
  <c r="E2687" i="3"/>
  <c r="A2687" i="3" s="1"/>
  <c r="E2688" i="3"/>
  <c r="A2688" i="3" s="1"/>
  <c r="E2689" i="3"/>
  <c r="A2689" i="3" s="1"/>
  <c r="E2690" i="3"/>
  <c r="A2690" i="3" s="1"/>
  <c r="E2691" i="3"/>
  <c r="A2691" i="3" s="1"/>
  <c r="E2692" i="3"/>
  <c r="A2692" i="3" s="1"/>
  <c r="E2693" i="3"/>
  <c r="A2693" i="3" s="1"/>
  <c r="E2694" i="3"/>
  <c r="A2694" i="3" s="1"/>
  <c r="E2695" i="3"/>
  <c r="A2695" i="3" s="1"/>
  <c r="E2696" i="3"/>
  <c r="A2696" i="3" s="1"/>
  <c r="E2697" i="3"/>
  <c r="A2697" i="3" s="1"/>
  <c r="E2698" i="3"/>
  <c r="A2698" i="3" s="1"/>
  <c r="E2699" i="3"/>
  <c r="A2699" i="3" s="1"/>
  <c r="E2700" i="3"/>
  <c r="A2700" i="3" s="1"/>
  <c r="E2701" i="3"/>
  <c r="A2701" i="3" s="1"/>
  <c r="E2702" i="3"/>
  <c r="A2702" i="3" s="1"/>
  <c r="E2703" i="3"/>
  <c r="A2703" i="3" s="1"/>
  <c r="E2704" i="3"/>
  <c r="A2704" i="3" s="1"/>
  <c r="E2705" i="3"/>
  <c r="A2705" i="3" s="1"/>
  <c r="E2706" i="3"/>
  <c r="A2706" i="3" s="1"/>
  <c r="E2707" i="3"/>
  <c r="A2707" i="3" s="1"/>
  <c r="E2708" i="3"/>
  <c r="A2708" i="3" s="1"/>
  <c r="E2709" i="3"/>
  <c r="A2709" i="3" s="1"/>
  <c r="E2710" i="3"/>
  <c r="A2710" i="3" s="1"/>
  <c r="E2711" i="3"/>
  <c r="A2711" i="3" s="1"/>
  <c r="E2712" i="3"/>
  <c r="A2712" i="3" s="1"/>
  <c r="E2713" i="3"/>
  <c r="A2713" i="3" s="1"/>
  <c r="E2714" i="3"/>
  <c r="A2714" i="3" s="1"/>
  <c r="E2715" i="3"/>
  <c r="A2715" i="3" s="1"/>
  <c r="E2716" i="3"/>
  <c r="A2716" i="3" s="1"/>
  <c r="E2717" i="3"/>
  <c r="A2717" i="3" s="1"/>
  <c r="E2718" i="3"/>
  <c r="A2718" i="3" s="1"/>
  <c r="E2719" i="3"/>
  <c r="A2719" i="3" s="1"/>
  <c r="E2720" i="3"/>
  <c r="A2720" i="3" s="1"/>
  <c r="E2721" i="3"/>
  <c r="A2721" i="3" s="1"/>
  <c r="E2722" i="3"/>
  <c r="A2722" i="3" s="1"/>
  <c r="E2723" i="3"/>
  <c r="A2723" i="3" s="1"/>
  <c r="E2724" i="3"/>
  <c r="A2724" i="3" s="1"/>
  <c r="E2725" i="3"/>
  <c r="A2725" i="3" s="1"/>
  <c r="E2726" i="3"/>
  <c r="A2726" i="3" s="1"/>
  <c r="E2727" i="3"/>
  <c r="A2727" i="3" s="1"/>
  <c r="E2728" i="3"/>
  <c r="A2728" i="3" s="1"/>
  <c r="E2729" i="3"/>
  <c r="A2729" i="3" s="1"/>
  <c r="E2730" i="3"/>
  <c r="A2730" i="3" s="1"/>
  <c r="E2731" i="3"/>
  <c r="A2731" i="3" s="1"/>
  <c r="E2732" i="3"/>
  <c r="A2732" i="3" s="1"/>
  <c r="E2733" i="3"/>
  <c r="A2733" i="3" s="1"/>
  <c r="E2734" i="3"/>
  <c r="A2734" i="3" s="1"/>
  <c r="E2735" i="3"/>
  <c r="A2735" i="3" s="1"/>
  <c r="E2736" i="3"/>
  <c r="A2736" i="3" s="1"/>
  <c r="E2737" i="3"/>
  <c r="A2737" i="3" s="1"/>
  <c r="E2738" i="3"/>
  <c r="A2738" i="3" s="1"/>
  <c r="E2739" i="3"/>
  <c r="A2739" i="3" s="1"/>
  <c r="E2740" i="3"/>
  <c r="A2740" i="3" s="1"/>
  <c r="E2741" i="3"/>
  <c r="A2741" i="3" s="1"/>
  <c r="E2742" i="3"/>
  <c r="A2742" i="3" s="1"/>
  <c r="E2743" i="3"/>
  <c r="A2743" i="3" s="1"/>
  <c r="E2744" i="3"/>
  <c r="A2744" i="3" s="1"/>
  <c r="E2745" i="3"/>
  <c r="A2745" i="3" s="1"/>
  <c r="E2746" i="3"/>
  <c r="A2746" i="3" s="1"/>
  <c r="E2747" i="3"/>
  <c r="A2747" i="3" s="1"/>
  <c r="E2748" i="3"/>
  <c r="A2748" i="3" s="1"/>
  <c r="E2749" i="3"/>
  <c r="A2749" i="3" s="1"/>
  <c r="E2750" i="3"/>
  <c r="A2750" i="3" s="1"/>
  <c r="E2751" i="3"/>
  <c r="A2751" i="3" s="1"/>
  <c r="E2752" i="3"/>
  <c r="A2752" i="3" s="1"/>
  <c r="E2753" i="3"/>
  <c r="A2753" i="3" s="1"/>
  <c r="E2754" i="3"/>
  <c r="A2754" i="3" s="1"/>
  <c r="E2755" i="3"/>
  <c r="A2755" i="3" s="1"/>
  <c r="E2756" i="3"/>
  <c r="A2756" i="3" s="1"/>
  <c r="E2757" i="3"/>
  <c r="A2757" i="3" s="1"/>
  <c r="E2758" i="3"/>
  <c r="A2758" i="3" s="1"/>
  <c r="E2759" i="3"/>
  <c r="A2759" i="3" s="1"/>
  <c r="E2760" i="3"/>
  <c r="A2760" i="3" s="1"/>
  <c r="E2761" i="3"/>
  <c r="A2761" i="3" s="1"/>
  <c r="E2762" i="3"/>
  <c r="A2762" i="3" s="1"/>
  <c r="E2763" i="3"/>
  <c r="A2763" i="3" s="1"/>
  <c r="E2764" i="3"/>
  <c r="A2764" i="3" s="1"/>
  <c r="E2765" i="3"/>
  <c r="A2765" i="3" s="1"/>
  <c r="E2766" i="3"/>
  <c r="A2766" i="3" s="1"/>
  <c r="E2767" i="3"/>
  <c r="A2767" i="3" s="1"/>
  <c r="E2768" i="3"/>
  <c r="A2768" i="3" s="1"/>
  <c r="E2769" i="3"/>
  <c r="A2769" i="3" s="1"/>
  <c r="E2770" i="3"/>
  <c r="A2770" i="3" s="1"/>
  <c r="E2771" i="3"/>
  <c r="A2771" i="3" s="1"/>
  <c r="E2772" i="3"/>
  <c r="A2772" i="3" s="1"/>
  <c r="E2773" i="3"/>
  <c r="A2773" i="3" s="1"/>
  <c r="E2774" i="3"/>
  <c r="A2774" i="3" s="1"/>
  <c r="E2775" i="3"/>
  <c r="A2775" i="3" s="1"/>
  <c r="E2776" i="3"/>
  <c r="A2776" i="3" s="1"/>
  <c r="E2777" i="3"/>
  <c r="A2777" i="3" s="1"/>
  <c r="E2778" i="3"/>
  <c r="A2778" i="3" s="1"/>
  <c r="E2779" i="3"/>
  <c r="A2779" i="3" s="1"/>
  <c r="E2780" i="3"/>
  <c r="A2780" i="3" s="1"/>
  <c r="E2781" i="3"/>
  <c r="A2781" i="3" s="1"/>
  <c r="E2782" i="3"/>
  <c r="A2782" i="3" s="1"/>
  <c r="E2783" i="3"/>
  <c r="A2783" i="3" s="1"/>
  <c r="E2784" i="3"/>
  <c r="A2784" i="3" s="1"/>
  <c r="E2785" i="3"/>
  <c r="A2785" i="3" s="1"/>
  <c r="E2786" i="3"/>
  <c r="A2786" i="3" s="1"/>
  <c r="E2787" i="3"/>
  <c r="A2787" i="3" s="1"/>
  <c r="E2788" i="3"/>
  <c r="A2788" i="3" s="1"/>
  <c r="E2789" i="3"/>
  <c r="A2789" i="3" s="1"/>
  <c r="E2790" i="3"/>
  <c r="A2790" i="3" s="1"/>
  <c r="E2791" i="3"/>
  <c r="A2791" i="3" s="1"/>
  <c r="E2792" i="3"/>
  <c r="A2792" i="3" s="1"/>
  <c r="E2793" i="3"/>
  <c r="A2793" i="3" s="1"/>
  <c r="E2794" i="3"/>
  <c r="A2794" i="3" s="1"/>
  <c r="E2795" i="3"/>
  <c r="A2795" i="3" s="1"/>
  <c r="E2796" i="3"/>
  <c r="A2796" i="3" s="1"/>
  <c r="E2797" i="3"/>
  <c r="A2797" i="3" s="1"/>
  <c r="E2798" i="3"/>
  <c r="A2798" i="3" s="1"/>
  <c r="E2799" i="3"/>
  <c r="A2799" i="3" s="1"/>
  <c r="E2800" i="3"/>
  <c r="A2800" i="3" s="1"/>
  <c r="E2801" i="3"/>
  <c r="A2801" i="3" s="1"/>
  <c r="E2802" i="3"/>
  <c r="A2802" i="3" s="1"/>
  <c r="E2803" i="3"/>
  <c r="A2803" i="3" s="1"/>
  <c r="E2804" i="3"/>
  <c r="A2804" i="3" s="1"/>
  <c r="E2805" i="3"/>
  <c r="A2805" i="3" s="1"/>
  <c r="E2806" i="3"/>
  <c r="A2806" i="3" s="1"/>
  <c r="E2807" i="3"/>
  <c r="A2807" i="3" s="1"/>
  <c r="E2808" i="3"/>
  <c r="A2808" i="3" s="1"/>
  <c r="E2809" i="3"/>
  <c r="A2809" i="3" s="1"/>
  <c r="E2810" i="3"/>
  <c r="A2810" i="3" s="1"/>
  <c r="E2811" i="3"/>
  <c r="A2811" i="3" s="1"/>
  <c r="E2812" i="3"/>
  <c r="A2812" i="3" s="1"/>
  <c r="E2813" i="3"/>
  <c r="A2813" i="3" s="1"/>
  <c r="E2814" i="3"/>
  <c r="A2814" i="3" s="1"/>
  <c r="E2815" i="3"/>
  <c r="A2815" i="3" s="1"/>
  <c r="E2816" i="3"/>
  <c r="A2816" i="3" s="1"/>
  <c r="E2817" i="3"/>
  <c r="A2817" i="3" s="1"/>
  <c r="E2818" i="3"/>
  <c r="A2818" i="3" s="1"/>
  <c r="E2819" i="3"/>
  <c r="A2819" i="3" s="1"/>
  <c r="E2820" i="3"/>
  <c r="A2820" i="3" s="1"/>
  <c r="E2821" i="3"/>
  <c r="A2821" i="3" s="1"/>
  <c r="E2822" i="3"/>
  <c r="A2822" i="3" s="1"/>
  <c r="E2823" i="3"/>
  <c r="A2823" i="3" s="1"/>
  <c r="E2824" i="3"/>
  <c r="A2824" i="3" s="1"/>
  <c r="E2825" i="3"/>
  <c r="A2825" i="3" s="1"/>
  <c r="E2826" i="3"/>
  <c r="A2826" i="3" s="1"/>
  <c r="E2827" i="3"/>
  <c r="A2827" i="3" s="1"/>
  <c r="E2828" i="3"/>
  <c r="A2828" i="3" s="1"/>
  <c r="E2829" i="3"/>
  <c r="A2829" i="3" s="1"/>
  <c r="E2830" i="3"/>
  <c r="A2830" i="3" s="1"/>
  <c r="E2831" i="3"/>
  <c r="A2831" i="3" s="1"/>
  <c r="E2832" i="3"/>
  <c r="A2832" i="3" s="1"/>
  <c r="E2833" i="3"/>
  <c r="A2833" i="3" s="1"/>
  <c r="E2834" i="3"/>
  <c r="A2834" i="3" s="1"/>
  <c r="E2835" i="3"/>
  <c r="A2835" i="3" s="1"/>
  <c r="E2836" i="3"/>
  <c r="A2836" i="3" s="1"/>
  <c r="E2837" i="3"/>
  <c r="A2837" i="3" s="1"/>
  <c r="E2838" i="3"/>
  <c r="A2838" i="3" s="1"/>
  <c r="E2839" i="3"/>
  <c r="A2839" i="3" s="1"/>
  <c r="E2840" i="3"/>
  <c r="A2840" i="3" s="1"/>
  <c r="E2841" i="3"/>
  <c r="A2841" i="3" s="1"/>
  <c r="E2842" i="3"/>
  <c r="A2842" i="3" s="1"/>
  <c r="E2843" i="3"/>
  <c r="A2843" i="3" s="1"/>
  <c r="E2844" i="3"/>
  <c r="A2844" i="3" s="1"/>
  <c r="E2845" i="3"/>
  <c r="A2845" i="3" s="1"/>
  <c r="E2846" i="3"/>
  <c r="A2846" i="3" s="1"/>
  <c r="E2847" i="3"/>
  <c r="A2847" i="3" s="1"/>
  <c r="E2848" i="3"/>
  <c r="A2848" i="3" s="1"/>
  <c r="E2849" i="3"/>
  <c r="A2849" i="3" s="1"/>
  <c r="E2850" i="3"/>
  <c r="A2850" i="3" s="1"/>
  <c r="E2851" i="3"/>
  <c r="A2851" i="3" s="1"/>
  <c r="E2852" i="3"/>
  <c r="A2852" i="3" s="1"/>
  <c r="E2853" i="3"/>
  <c r="A2853" i="3" s="1"/>
  <c r="E2854" i="3"/>
  <c r="A2854" i="3" s="1"/>
  <c r="E2855" i="3"/>
  <c r="A2855" i="3" s="1"/>
  <c r="E2856" i="3"/>
  <c r="A2856" i="3" s="1"/>
  <c r="E2857" i="3"/>
  <c r="A2857" i="3" s="1"/>
  <c r="E2858" i="3"/>
  <c r="A2858" i="3" s="1"/>
  <c r="E2859" i="3"/>
  <c r="A2859" i="3" s="1"/>
  <c r="E2860" i="3"/>
  <c r="A2860" i="3" s="1"/>
  <c r="E2861" i="3"/>
  <c r="A2861" i="3" s="1"/>
  <c r="E2862" i="3"/>
  <c r="A2862" i="3" s="1"/>
  <c r="E2863" i="3"/>
  <c r="A2863" i="3" s="1"/>
  <c r="E2864" i="3"/>
  <c r="A2864" i="3" s="1"/>
  <c r="E2865" i="3"/>
  <c r="A2865" i="3" s="1"/>
  <c r="E2866" i="3"/>
  <c r="A2866" i="3" s="1"/>
  <c r="E2867" i="3"/>
  <c r="A2867" i="3" s="1"/>
  <c r="E2868" i="3"/>
  <c r="A2868" i="3" s="1"/>
  <c r="E2869" i="3"/>
  <c r="A2869" i="3" s="1"/>
  <c r="E2870" i="3"/>
  <c r="A2870" i="3" s="1"/>
  <c r="E2871" i="3"/>
  <c r="A2871" i="3" s="1"/>
  <c r="E2872" i="3"/>
  <c r="A2872" i="3" s="1"/>
  <c r="E2873" i="3"/>
  <c r="A2873" i="3" s="1"/>
  <c r="E2874" i="3"/>
  <c r="A2874" i="3" s="1"/>
  <c r="E2875" i="3"/>
  <c r="A2875" i="3" s="1"/>
  <c r="E2876" i="3"/>
  <c r="A2876" i="3" s="1"/>
  <c r="E2877" i="3"/>
  <c r="A2877" i="3" s="1"/>
  <c r="E2878" i="3"/>
  <c r="A2878" i="3" s="1"/>
  <c r="E2879" i="3"/>
  <c r="A2879" i="3" s="1"/>
  <c r="E2880" i="3"/>
  <c r="A2880" i="3" s="1"/>
  <c r="E2881" i="3"/>
  <c r="A2881" i="3" s="1"/>
  <c r="E2882" i="3"/>
  <c r="A2882" i="3" s="1"/>
  <c r="E2883" i="3"/>
  <c r="A2883" i="3" s="1"/>
  <c r="E2884" i="3"/>
  <c r="A2884" i="3" s="1"/>
  <c r="E2885" i="3"/>
  <c r="A2885" i="3" s="1"/>
  <c r="E2886" i="3"/>
  <c r="A2886" i="3" s="1"/>
  <c r="E2887" i="3"/>
  <c r="A2887" i="3" s="1"/>
  <c r="E2888" i="3"/>
  <c r="A2888" i="3" s="1"/>
  <c r="E2889" i="3"/>
  <c r="A2889" i="3" s="1"/>
  <c r="E2890" i="3"/>
  <c r="A2890" i="3" s="1"/>
  <c r="E2891" i="3"/>
  <c r="A2891" i="3" s="1"/>
  <c r="E2892" i="3"/>
  <c r="A2892" i="3" s="1"/>
  <c r="E2893" i="3"/>
  <c r="A2893" i="3" s="1"/>
  <c r="E2894" i="3"/>
  <c r="A2894" i="3" s="1"/>
  <c r="E2895" i="3"/>
  <c r="A2895" i="3" s="1"/>
  <c r="E2896" i="3"/>
  <c r="A2896" i="3" s="1"/>
  <c r="E2897" i="3"/>
  <c r="A2897" i="3" s="1"/>
  <c r="E2898" i="3"/>
  <c r="A2898" i="3" s="1"/>
  <c r="E2899" i="3"/>
  <c r="A2899" i="3" s="1"/>
  <c r="E2900" i="3"/>
  <c r="A2900" i="3" s="1"/>
  <c r="E2901" i="3"/>
  <c r="A2901" i="3" s="1"/>
  <c r="E2902" i="3"/>
  <c r="A2902" i="3" s="1"/>
  <c r="E2903" i="3"/>
  <c r="A2903" i="3" s="1"/>
  <c r="E2904" i="3"/>
  <c r="A2904" i="3" s="1"/>
  <c r="E2905" i="3"/>
  <c r="A2905" i="3" s="1"/>
  <c r="E2906" i="3"/>
  <c r="A2906" i="3" s="1"/>
  <c r="E2907" i="3"/>
  <c r="A2907" i="3" s="1"/>
  <c r="E2908" i="3"/>
  <c r="A2908" i="3" s="1"/>
  <c r="E2909" i="3"/>
  <c r="A2909" i="3" s="1"/>
  <c r="E2910" i="3"/>
  <c r="A2910" i="3" s="1"/>
  <c r="E2911" i="3"/>
  <c r="A2911" i="3" s="1"/>
  <c r="E2912" i="3"/>
  <c r="A2912" i="3" s="1"/>
  <c r="E2913" i="3"/>
  <c r="A2913" i="3" s="1"/>
  <c r="E2914" i="3"/>
  <c r="A2914" i="3" s="1"/>
  <c r="E2915" i="3"/>
  <c r="A2915" i="3" s="1"/>
  <c r="E2916" i="3"/>
  <c r="A2916" i="3" s="1"/>
  <c r="E2917" i="3"/>
  <c r="A2917" i="3" s="1"/>
  <c r="E2918" i="3"/>
  <c r="A2918" i="3" s="1"/>
  <c r="E2919" i="3"/>
  <c r="A2919" i="3" s="1"/>
  <c r="E2920" i="3"/>
  <c r="A2920" i="3" s="1"/>
  <c r="E2921" i="3"/>
  <c r="A2921" i="3" s="1"/>
  <c r="E2922" i="3"/>
  <c r="A2922" i="3" s="1"/>
  <c r="E2923" i="3"/>
  <c r="A2923" i="3" s="1"/>
  <c r="E2924" i="3"/>
  <c r="A2924" i="3" s="1"/>
  <c r="E2925" i="3"/>
  <c r="A2925" i="3" s="1"/>
  <c r="E2926" i="3"/>
  <c r="A2926" i="3" s="1"/>
  <c r="E2927" i="3"/>
  <c r="A2927" i="3" s="1"/>
  <c r="E2928" i="3"/>
  <c r="A2928" i="3" s="1"/>
  <c r="E2929" i="3"/>
  <c r="A2929" i="3" s="1"/>
  <c r="E2930" i="3"/>
  <c r="A2930" i="3" s="1"/>
  <c r="E2931" i="3"/>
  <c r="A2931" i="3" s="1"/>
  <c r="E2932" i="3"/>
  <c r="A2932" i="3" s="1"/>
  <c r="E2933" i="3"/>
  <c r="A2933" i="3" s="1"/>
  <c r="E2934" i="3"/>
  <c r="A2934" i="3" s="1"/>
  <c r="E2935" i="3"/>
  <c r="A2935" i="3" s="1"/>
  <c r="E2936" i="3"/>
  <c r="A2936" i="3" s="1"/>
  <c r="E2937" i="3"/>
  <c r="A2937" i="3" s="1"/>
  <c r="E2938" i="3"/>
  <c r="A2938" i="3" s="1"/>
  <c r="E2939" i="3"/>
  <c r="A2939" i="3" s="1"/>
  <c r="E2940" i="3"/>
  <c r="A2940" i="3" s="1"/>
  <c r="E2941" i="3"/>
  <c r="A2941" i="3" s="1"/>
  <c r="E2942" i="3"/>
  <c r="A2942" i="3" s="1"/>
  <c r="E2943" i="3"/>
  <c r="A2943" i="3" s="1"/>
  <c r="E2944" i="3"/>
  <c r="A2944" i="3" s="1"/>
  <c r="E2945" i="3"/>
  <c r="A2945" i="3" s="1"/>
  <c r="E2946" i="3"/>
  <c r="A2946" i="3" s="1"/>
  <c r="E2947" i="3"/>
  <c r="A2947" i="3" s="1"/>
  <c r="E2948" i="3"/>
  <c r="A2948" i="3" s="1"/>
  <c r="E2949" i="3"/>
  <c r="A2949" i="3" s="1"/>
  <c r="E2950" i="3"/>
  <c r="A2950" i="3" s="1"/>
  <c r="E2951" i="3"/>
  <c r="A2951" i="3" s="1"/>
  <c r="E2952" i="3"/>
  <c r="A2952" i="3" s="1"/>
  <c r="E2953" i="3"/>
  <c r="A2953" i="3" s="1"/>
  <c r="E2954" i="3"/>
  <c r="A2954" i="3" s="1"/>
  <c r="E2955" i="3"/>
  <c r="A2955" i="3" s="1"/>
  <c r="E2956" i="3"/>
  <c r="A2956" i="3" s="1"/>
  <c r="E2957" i="3"/>
  <c r="A2957" i="3" s="1"/>
  <c r="E2958" i="3"/>
  <c r="A2958" i="3" s="1"/>
  <c r="E2959" i="3"/>
  <c r="A2959" i="3" s="1"/>
  <c r="E2960" i="3"/>
  <c r="A2960" i="3" s="1"/>
  <c r="E2961" i="3"/>
  <c r="A2961" i="3" s="1"/>
  <c r="E2962" i="3"/>
  <c r="A2962" i="3" s="1"/>
  <c r="E2963" i="3"/>
  <c r="A2963" i="3" s="1"/>
  <c r="E2964" i="3"/>
  <c r="A2964" i="3" s="1"/>
  <c r="E2965" i="3"/>
  <c r="A2965" i="3" s="1"/>
  <c r="E2966" i="3"/>
  <c r="A2966" i="3" s="1"/>
  <c r="E2967" i="3"/>
  <c r="A2967" i="3" s="1"/>
  <c r="E2968" i="3"/>
  <c r="A2968" i="3" s="1"/>
  <c r="E2969" i="3"/>
  <c r="A2969" i="3" s="1"/>
  <c r="E2970" i="3"/>
  <c r="A2970" i="3" s="1"/>
  <c r="E2971" i="3"/>
  <c r="A2971" i="3" s="1"/>
  <c r="E2972" i="3"/>
  <c r="A2972" i="3" s="1"/>
  <c r="E2973" i="3"/>
  <c r="A2973" i="3" s="1"/>
  <c r="E2974" i="3"/>
  <c r="A2974" i="3" s="1"/>
  <c r="E2975" i="3"/>
  <c r="A2975" i="3" s="1"/>
  <c r="E2976" i="3"/>
  <c r="A2976" i="3" s="1"/>
  <c r="E2977" i="3"/>
  <c r="A2977" i="3" s="1"/>
  <c r="E2978" i="3"/>
  <c r="A2978" i="3" s="1"/>
  <c r="E2979" i="3"/>
  <c r="A2979" i="3" s="1"/>
  <c r="E2980" i="3"/>
  <c r="A2980" i="3" s="1"/>
  <c r="E2981" i="3"/>
  <c r="A2981" i="3" s="1"/>
  <c r="E2982" i="3"/>
  <c r="A2982" i="3" s="1"/>
  <c r="E2983" i="3"/>
  <c r="A2983" i="3" s="1"/>
  <c r="E2984" i="3"/>
  <c r="A2984" i="3" s="1"/>
  <c r="E2985" i="3"/>
  <c r="A2985" i="3" s="1"/>
  <c r="E2986" i="3"/>
  <c r="A2986" i="3" s="1"/>
  <c r="E2987" i="3"/>
  <c r="A2987" i="3" s="1"/>
  <c r="E2988" i="3"/>
  <c r="A2988" i="3" s="1"/>
  <c r="E2989" i="3"/>
  <c r="A2989" i="3" s="1"/>
  <c r="E2990" i="3"/>
  <c r="A2990" i="3" s="1"/>
  <c r="E2991" i="3"/>
  <c r="A2991" i="3" s="1"/>
  <c r="E2992" i="3"/>
  <c r="A2992" i="3" s="1"/>
  <c r="E2993" i="3"/>
  <c r="A2993" i="3" s="1"/>
  <c r="E2994" i="3"/>
  <c r="A2994" i="3" s="1"/>
  <c r="E2995" i="3"/>
  <c r="A2995" i="3" s="1"/>
  <c r="E2996" i="3"/>
  <c r="A2996" i="3" s="1"/>
  <c r="E2997" i="3"/>
  <c r="A2997" i="3" s="1"/>
  <c r="E2998" i="3"/>
  <c r="A2998" i="3" s="1"/>
  <c r="E2999" i="3"/>
  <c r="A2999" i="3" s="1"/>
  <c r="E3000" i="3"/>
  <c r="A3000" i="3" s="1"/>
  <c r="E3001" i="3"/>
  <c r="A3001" i="3" s="1"/>
  <c r="E3002" i="3"/>
  <c r="A3002" i="3" s="1"/>
  <c r="E3003" i="3"/>
  <c r="A3003" i="3" s="1"/>
  <c r="E3004" i="3"/>
  <c r="A3004" i="3" s="1"/>
  <c r="E3005" i="3"/>
  <c r="A3005" i="3" s="1"/>
  <c r="E3006" i="3"/>
  <c r="A3006" i="3" s="1"/>
  <c r="E3007" i="3"/>
  <c r="A3007" i="3" s="1"/>
  <c r="E3008" i="3"/>
  <c r="A3008" i="3" s="1"/>
  <c r="E3009" i="3"/>
  <c r="A3009" i="3" s="1"/>
  <c r="E3010" i="3"/>
  <c r="A3010" i="3" s="1"/>
  <c r="E3011" i="3"/>
  <c r="A3011" i="3" s="1"/>
  <c r="E3012" i="3"/>
  <c r="A3012" i="3" s="1"/>
  <c r="E3013" i="3"/>
  <c r="A3013" i="3" s="1"/>
  <c r="E3014" i="3"/>
  <c r="A3014" i="3" s="1"/>
  <c r="E3015" i="3"/>
  <c r="A3015" i="3" s="1"/>
  <c r="E3016" i="3"/>
  <c r="A3016" i="3" s="1"/>
  <c r="E3017" i="3"/>
  <c r="A3017" i="3" s="1"/>
  <c r="E3018" i="3"/>
  <c r="A3018" i="3" s="1"/>
  <c r="E3019" i="3"/>
  <c r="A3019" i="3" s="1"/>
  <c r="E3020" i="3"/>
  <c r="A3020" i="3" s="1"/>
  <c r="E3021" i="3"/>
  <c r="A3021" i="3" s="1"/>
  <c r="E3022" i="3"/>
  <c r="A3022" i="3" s="1"/>
  <c r="E3023" i="3"/>
  <c r="A3023" i="3" s="1"/>
  <c r="E3024" i="3"/>
  <c r="A3024" i="3" s="1"/>
  <c r="E3025" i="3"/>
  <c r="A3025" i="3" s="1"/>
  <c r="E3026" i="3"/>
  <c r="A3026" i="3" s="1"/>
  <c r="E3027" i="3"/>
  <c r="A3027" i="3" s="1"/>
  <c r="E3028" i="3"/>
  <c r="A3028" i="3" s="1"/>
  <c r="E3029" i="3"/>
  <c r="A3029" i="3" s="1"/>
  <c r="E3030" i="3"/>
  <c r="A3030" i="3" s="1"/>
  <c r="E3031" i="3"/>
  <c r="A3031" i="3" s="1"/>
  <c r="E3032" i="3"/>
  <c r="A3032" i="3" s="1"/>
  <c r="E3033" i="3"/>
  <c r="A3033" i="3" s="1"/>
  <c r="E3034" i="3"/>
  <c r="A3034" i="3" s="1"/>
  <c r="E3035" i="3"/>
  <c r="A3035" i="3" s="1"/>
  <c r="E3036" i="3"/>
  <c r="A3036" i="3" s="1"/>
  <c r="E3037" i="3"/>
  <c r="A3037" i="3" s="1"/>
  <c r="E3038" i="3"/>
  <c r="A3038" i="3" s="1"/>
  <c r="E3039" i="3"/>
  <c r="A3039" i="3" s="1"/>
  <c r="E3040" i="3"/>
  <c r="A3040" i="3" s="1"/>
  <c r="E3041" i="3"/>
  <c r="A3041" i="3" s="1"/>
  <c r="E3042" i="3"/>
  <c r="A3042" i="3" s="1"/>
  <c r="E3043" i="3"/>
  <c r="A3043" i="3" s="1"/>
  <c r="E3044" i="3"/>
  <c r="A3044" i="3" s="1"/>
  <c r="E3045" i="3"/>
  <c r="A3045" i="3" s="1"/>
  <c r="E3046" i="3"/>
  <c r="A3046" i="3" s="1"/>
  <c r="E3047" i="3"/>
  <c r="A3047" i="3" s="1"/>
  <c r="E3048" i="3"/>
  <c r="A3048" i="3" s="1"/>
  <c r="E3049" i="3"/>
  <c r="A3049" i="3" s="1"/>
  <c r="E3050" i="3"/>
  <c r="A3050" i="3" s="1"/>
  <c r="E3051" i="3"/>
  <c r="A3051" i="3" s="1"/>
  <c r="E3052" i="3"/>
  <c r="A3052" i="3" s="1"/>
  <c r="E3053" i="3"/>
  <c r="A3053" i="3" s="1"/>
  <c r="E3054" i="3"/>
  <c r="A3054" i="3" s="1"/>
  <c r="E3055" i="3"/>
  <c r="A3055" i="3" s="1"/>
  <c r="E3056" i="3"/>
  <c r="A3056" i="3" s="1"/>
  <c r="E3057" i="3"/>
  <c r="A3057" i="3" s="1"/>
  <c r="E3058" i="3"/>
  <c r="A3058" i="3" s="1"/>
  <c r="E3059" i="3"/>
  <c r="A3059" i="3" s="1"/>
  <c r="E3060" i="3"/>
  <c r="A3060" i="3" s="1"/>
  <c r="E3061" i="3"/>
  <c r="A3061" i="3" s="1"/>
  <c r="E3062" i="3"/>
  <c r="A3062" i="3" s="1"/>
  <c r="E3063" i="3"/>
  <c r="A3063" i="3" s="1"/>
  <c r="E3064" i="3"/>
  <c r="A3064" i="3" s="1"/>
  <c r="E3065" i="3"/>
  <c r="A3065" i="3" s="1"/>
  <c r="E3066" i="3"/>
  <c r="A3066" i="3" s="1"/>
  <c r="E3067" i="3"/>
  <c r="A3067" i="3" s="1"/>
  <c r="E3068" i="3"/>
  <c r="A3068" i="3" s="1"/>
  <c r="E3069" i="3"/>
  <c r="A3069" i="3" s="1"/>
  <c r="E3070" i="3"/>
  <c r="A3070" i="3" s="1"/>
  <c r="E3071" i="3"/>
  <c r="A3071" i="3" s="1"/>
  <c r="E3072" i="3"/>
  <c r="A3072" i="3" s="1"/>
  <c r="E3073" i="3"/>
  <c r="A3073" i="3" s="1"/>
  <c r="E3074" i="3"/>
  <c r="A3074" i="3" s="1"/>
  <c r="E3075" i="3"/>
  <c r="A3075" i="3" s="1"/>
  <c r="E3076" i="3"/>
  <c r="A3076" i="3" s="1"/>
  <c r="E3077" i="3"/>
  <c r="A3077" i="3" s="1"/>
  <c r="E3078" i="3"/>
  <c r="A3078" i="3" s="1"/>
  <c r="E3079" i="3"/>
  <c r="A3079" i="3" s="1"/>
  <c r="E3080" i="3"/>
  <c r="A3080" i="3" s="1"/>
  <c r="E3081" i="3"/>
  <c r="A3081" i="3" s="1"/>
  <c r="E3082" i="3"/>
  <c r="A3082" i="3" s="1"/>
  <c r="E3083" i="3"/>
  <c r="A3083" i="3" s="1"/>
  <c r="E3084" i="3"/>
  <c r="A3084" i="3" s="1"/>
  <c r="E3085" i="3"/>
  <c r="A3085" i="3" s="1"/>
  <c r="E3086" i="3"/>
  <c r="A3086" i="3" s="1"/>
  <c r="E3087" i="3"/>
  <c r="A3087" i="3" s="1"/>
  <c r="E3088" i="3"/>
  <c r="A3088" i="3" s="1"/>
  <c r="E3089" i="3"/>
  <c r="A3089" i="3" s="1"/>
  <c r="E3090" i="3"/>
  <c r="A3090" i="3" s="1"/>
  <c r="E3091" i="3"/>
  <c r="A3091" i="3" s="1"/>
  <c r="E3092" i="3"/>
  <c r="A3092" i="3" s="1"/>
  <c r="E3093" i="3"/>
  <c r="A3093" i="3" s="1"/>
  <c r="E3094" i="3"/>
  <c r="A3094" i="3" s="1"/>
  <c r="E3095" i="3"/>
  <c r="A3095" i="3" s="1"/>
  <c r="E3096" i="3"/>
  <c r="A3096" i="3" s="1"/>
  <c r="E3097" i="3"/>
  <c r="A3097" i="3" s="1"/>
  <c r="E3098" i="3"/>
  <c r="A3098" i="3" s="1"/>
  <c r="E3099" i="3"/>
  <c r="A3099" i="3" s="1"/>
  <c r="E3100" i="3"/>
  <c r="A3100" i="3" s="1"/>
  <c r="E3101" i="3"/>
  <c r="A3101" i="3" s="1"/>
  <c r="E3102" i="3"/>
  <c r="A3102" i="3" s="1"/>
  <c r="E3103" i="3"/>
  <c r="A3103" i="3" s="1"/>
  <c r="E3104" i="3"/>
  <c r="A3104" i="3" s="1"/>
  <c r="E3105" i="3"/>
  <c r="A3105" i="3" s="1"/>
  <c r="E3106" i="3"/>
  <c r="A3106" i="3" s="1"/>
  <c r="E3107" i="3"/>
  <c r="A3107" i="3" s="1"/>
  <c r="E3108" i="3"/>
  <c r="A3108" i="3" s="1"/>
  <c r="E3109" i="3"/>
  <c r="A3109" i="3" s="1"/>
  <c r="E3110" i="3"/>
  <c r="A3110" i="3" s="1"/>
  <c r="E3111" i="3"/>
  <c r="A3111" i="3" s="1"/>
  <c r="E3112" i="3"/>
  <c r="A3112" i="3" s="1"/>
  <c r="E3113" i="3"/>
  <c r="A3113" i="3" s="1"/>
  <c r="E3114" i="3"/>
  <c r="A3114" i="3" s="1"/>
  <c r="E3115" i="3"/>
  <c r="A3115" i="3" s="1"/>
  <c r="E3116" i="3"/>
  <c r="A3116" i="3" s="1"/>
  <c r="E3117" i="3"/>
  <c r="A3117" i="3" s="1"/>
  <c r="E3118" i="3"/>
  <c r="A3118" i="3" s="1"/>
  <c r="E3119" i="3"/>
  <c r="A3119" i="3" s="1"/>
  <c r="E3120" i="3"/>
  <c r="A3120" i="3" s="1"/>
  <c r="E3121" i="3"/>
  <c r="A3121" i="3" s="1"/>
  <c r="E3122" i="3"/>
  <c r="A3122" i="3" s="1"/>
  <c r="E3123" i="3"/>
  <c r="A3123" i="3" s="1"/>
  <c r="E3124" i="3"/>
  <c r="A3124" i="3" s="1"/>
  <c r="E3125" i="3"/>
  <c r="A3125" i="3" s="1"/>
  <c r="E3126" i="3"/>
  <c r="A3126" i="3" s="1"/>
  <c r="E3127" i="3"/>
  <c r="A3127" i="3" s="1"/>
  <c r="E3128" i="3"/>
  <c r="A3128" i="3" s="1"/>
  <c r="E3129" i="3"/>
  <c r="A3129" i="3" s="1"/>
  <c r="E3130" i="3"/>
  <c r="A3130" i="3" s="1"/>
  <c r="E3131" i="3"/>
  <c r="A3131" i="3" s="1"/>
  <c r="E3132" i="3"/>
  <c r="A3132" i="3" s="1"/>
  <c r="E3133" i="3"/>
  <c r="A3133" i="3" s="1"/>
  <c r="E3134" i="3"/>
  <c r="A3134" i="3" s="1"/>
  <c r="E3135" i="3"/>
  <c r="A3135" i="3" s="1"/>
  <c r="E3136" i="3"/>
  <c r="A3136" i="3" s="1"/>
  <c r="E3137" i="3"/>
  <c r="A3137" i="3" s="1"/>
  <c r="E3138" i="3"/>
  <c r="A3138" i="3" s="1"/>
  <c r="E3139" i="3"/>
  <c r="A3139" i="3" s="1"/>
  <c r="E3140" i="3"/>
  <c r="A3140" i="3" s="1"/>
  <c r="E3141" i="3"/>
  <c r="A3141" i="3" s="1"/>
  <c r="E3142" i="3"/>
  <c r="A3142" i="3" s="1"/>
  <c r="E3143" i="3"/>
  <c r="A3143" i="3" s="1"/>
  <c r="E3144" i="3"/>
  <c r="A3144" i="3" s="1"/>
  <c r="E3145" i="3"/>
  <c r="A3145" i="3" s="1"/>
  <c r="E3146" i="3"/>
  <c r="A3146" i="3" s="1"/>
  <c r="E3147" i="3"/>
  <c r="A3147" i="3" s="1"/>
  <c r="E3148" i="3"/>
  <c r="A3148" i="3" s="1"/>
  <c r="E3149" i="3"/>
  <c r="A3149" i="3" s="1"/>
  <c r="E3150" i="3"/>
  <c r="A3150" i="3" s="1"/>
  <c r="E3151" i="3"/>
  <c r="A3151" i="3" s="1"/>
  <c r="E3152" i="3"/>
  <c r="A3152" i="3" s="1"/>
  <c r="E3153" i="3"/>
  <c r="A3153" i="3" s="1"/>
  <c r="E3154" i="3"/>
  <c r="A3154" i="3" s="1"/>
  <c r="E3155" i="3"/>
  <c r="A3155" i="3" s="1"/>
  <c r="E3156" i="3"/>
  <c r="A3156" i="3" s="1"/>
  <c r="E3157" i="3"/>
  <c r="A3157" i="3" s="1"/>
  <c r="E3158" i="3"/>
  <c r="A3158" i="3" s="1"/>
  <c r="E3159" i="3"/>
  <c r="A3159" i="3" s="1"/>
  <c r="E3160" i="3"/>
  <c r="A3160" i="3" s="1"/>
  <c r="E3161" i="3"/>
  <c r="A3161" i="3" s="1"/>
  <c r="E3162" i="3"/>
  <c r="A3162" i="3" s="1"/>
  <c r="E3163" i="3"/>
  <c r="A3163" i="3" s="1"/>
  <c r="E3164" i="3"/>
  <c r="A3164" i="3" s="1"/>
  <c r="E3165" i="3"/>
  <c r="A3165" i="3" s="1"/>
  <c r="E3166" i="3"/>
  <c r="A3166" i="3" s="1"/>
  <c r="E3167" i="3"/>
  <c r="A3167" i="3" s="1"/>
  <c r="E3168" i="3"/>
  <c r="A3168" i="3" s="1"/>
  <c r="E3169" i="3"/>
  <c r="A3169" i="3" s="1"/>
  <c r="E3170" i="3"/>
  <c r="A3170" i="3" s="1"/>
  <c r="E3171" i="3"/>
  <c r="A3171" i="3" s="1"/>
  <c r="E3172" i="3"/>
  <c r="A3172" i="3" s="1"/>
  <c r="E3173" i="3"/>
  <c r="A3173" i="3" s="1"/>
  <c r="E3174" i="3"/>
  <c r="A3174" i="3" s="1"/>
  <c r="E3175" i="3"/>
  <c r="A3175" i="3" s="1"/>
  <c r="E3176" i="3"/>
  <c r="A3176" i="3" s="1"/>
  <c r="E3177" i="3"/>
  <c r="A3177" i="3" s="1"/>
  <c r="E3178" i="3"/>
  <c r="A3178" i="3" s="1"/>
  <c r="E3179" i="3"/>
  <c r="A3179" i="3" s="1"/>
  <c r="E3180" i="3"/>
  <c r="A3180" i="3" s="1"/>
  <c r="E3181" i="3"/>
  <c r="A3181" i="3" s="1"/>
  <c r="E3182" i="3"/>
  <c r="A3182" i="3" s="1"/>
  <c r="E3183" i="3"/>
  <c r="A3183" i="3" s="1"/>
  <c r="E3184" i="3"/>
  <c r="A3184" i="3" s="1"/>
  <c r="E3185" i="3"/>
  <c r="A3185" i="3" s="1"/>
  <c r="E3186" i="3"/>
  <c r="A3186" i="3" s="1"/>
  <c r="E3187" i="3"/>
  <c r="A3187" i="3" s="1"/>
  <c r="E3188" i="3"/>
  <c r="A3188" i="3" s="1"/>
  <c r="E3189" i="3"/>
  <c r="A3189" i="3" s="1"/>
  <c r="E3190" i="3"/>
  <c r="A3190" i="3" s="1"/>
  <c r="E3191" i="3"/>
  <c r="A3191" i="3" s="1"/>
  <c r="E3192" i="3"/>
  <c r="A3192" i="3" s="1"/>
  <c r="E3193" i="3"/>
  <c r="A3193" i="3" s="1"/>
  <c r="E3194" i="3"/>
  <c r="A3194" i="3" s="1"/>
  <c r="E3195" i="3"/>
  <c r="A3195" i="3" s="1"/>
  <c r="E3196" i="3"/>
  <c r="A3196" i="3" s="1"/>
  <c r="E3197" i="3"/>
  <c r="A3197" i="3" s="1"/>
  <c r="E3198" i="3"/>
  <c r="A3198" i="3" s="1"/>
  <c r="E3199" i="3"/>
  <c r="A3199" i="3" s="1"/>
  <c r="E3200" i="3"/>
  <c r="A3200" i="3" s="1"/>
  <c r="E3201" i="3"/>
  <c r="A3201" i="3" s="1"/>
  <c r="E3202" i="3"/>
  <c r="A3202" i="3" s="1"/>
  <c r="E3203" i="3"/>
  <c r="A3203" i="3" s="1"/>
  <c r="E3204" i="3"/>
  <c r="A3204" i="3" s="1"/>
  <c r="E3205" i="3"/>
  <c r="A3205" i="3" s="1"/>
  <c r="E3206" i="3"/>
  <c r="A3206" i="3" s="1"/>
  <c r="E3207" i="3"/>
  <c r="A3207" i="3" s="1"/>
  <c r="E3208" i="3"/>
  <c r="A3208" i="3" s="1"/>
  <c r="E3209" i="3"/>
  <c r="A3209" i="3" s="1"/>
  <c r="E3210" i="3"/>
  <c r="A3210" i="3" s="1"/>
  <c r="E3211" i="3"/>
  <c r="A3211" i="3" s="1"/>
  <c r="E3212" i="3"/>
  <c r="A3212" i="3" s="1"/>
  <c r="E3213" i="3"/>
  <c r="A3213" i="3" s="1"/>
  <c r="E3214" i="3"/>
  <c r="A3214" i="3" s="1"/>
  <c r="E3215" i="3"/>
  <c r="A3215" i="3" s="1"/>
  <c r="E3216" i="3"/>
  <c r="A3216" i="3" s="1"/>
  <c r="E3217" i="3"/>
  <c r="A3217" i="3" s="1"/>
  <c r="E3218" i="3"/>
  <c r="A3218" i="3" s="1"/>
  <c r="E3219" i="3"/>
  <c r="A3219" i="3" s="1"/>
  <c r="E3220" i="3"/>
  <c r="A3220" i="3" s="1"/>
  <c r="E3221" i="3"/>
  <c r="A3221" i="3" s="1"/>
  <c r="E3222" i="3"/>
  <c r="A3222" i="3" s="1"/>
  <c r="E3223" i="3"/>
  <c r="A3223" i="3" s="1"/>
  <c r="E3224" i="3"/>
  <c r="A3224" i="3" s="1"/>
  <c r="E3225" i="3"/>
  <c r="A3225" i="3" s="1"/>
  <c r="E3226" i="3"/>
  <c r="A3226" i="3" s="1"/>
  <c r="E3227" i="3"/>
  <c r="A3227" i="3" s="1"/>
  <c r="E3228" i="3"/>
  <c r="A3228" i="3" s="1"/>
  <c r="E3229" i="3"/>
  <c r="A3229" i="3" s="1"/>
  <c r="E2" i="3"/>
  <c r="A2" i="3" s="1"/>
  <c r="A12" i="3" l="1"/>
  <c r="A11" i="3"/>
  <c r="A10" i="3"/>
  <c r="A9" i="3"/>
  <c r="A8" i="3"/>
  <c r="A7" i="3"/>
  <c r="A6" i="3"/>
  <c r="A5" i="3"/>
  <c r="A4" i="3"/>
  <c r="A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815F8E-3850-43FD-9724-8D672320BF0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<sst xmlns="http://schemas.openxmlformats.org/spreadsheetml/2006/main" count="3242" uniqueCount="16">
  <si>
    <t>Latte</t>
  </si>
  <si>
    <t>Hot Chocolate</t>
  </si>
  <si>
    <t>Americano</t>
  </si>
  <si>
    <t>Americano with Milk</t>
  </si>
  <si>
    <t>Cocoa</t>
  </si>
  <si>
    <t>Cortado</t>
  </si>
  <si>
    <t>Espresso</t>
  </si>
  <si>
    <t>Cappuccino</t>
  </si>
  <si>
    <t>Amount</t>
  </si>
  <si>
    <t>Coffee Name</t>
  </si>
  <si>
    <t>Period</t>
  </si>
  <si>
    <t>Transaction Date</t>
  </si>
  <si>
    <t>Transaction Time</t>
  </si>
  <si>
    <t>Invoice</t>
  </si>
  <si>
    <t>dddd, dd mmm yyyy</t>
  </si>
  <si>
    <t>Transaction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</si>
</sst>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dddd\,\ dd\ mmm\ yyyy"/>
    <numFmt numFmtId="166" formatCode="[$-409]h:mm\ AM/PM;@"/>
    <numFmt numFmtId="169" formatCode="dd\ mmm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3" fillId="33" borderId="10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13" fillId="33" borderId="1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6" fontId="13" fillId="33" borderId="11" xfId="0" applyNumberFormat="1" applyFont="1" applyFill="1" applyBorder="1" applyAlignment="1">
      <alignment horizontal="left" vertical="center"/>
    </xf>
    <xf numFmtId="0" fontId="13" fillId="33" borderId="11" xfId="0" applyFont="1" applyFill="1" applyBorder="1" applyAlignment="1">
      <alignment horizontal="left" vertical="center"/>
    </xf>
    <xf numFmtId="164" fontId="13" fillId="33" borderId="12" xfId="0" applyNumberFormat="1" applyFont="1" applyFill="1" applyBorder="1" applyAlignment="1">
      <alignment horizontal="left" vertical="center"/>
    </xf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169" formatCode="dd\ mmm\ yyyy"/>
    </dxf>
    <dxf>
      <numFmt numFmtId="19" formatCode="m/d/yyyy"/>
    </dxf>
    <dxf>
      <numFmt numFmtId="164" formatCode="&quot;$&quot;#,##0.00"/>
    </dxf>
    <dxf>
      <numFmt numFmtId="0" formatCode="General"/>
    </dxf>
    <dxf>
      <numFmt numFmtId="0" formatCode="General"/>
    </dxf>
    <dxf>
      <numFmt numFmtId="166" formatCode="[$-409]h:mm\ AM/PM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0DC411-D4ED-4874-ADB9-1C3906791107}" autoFormatId="16" applyNumberFormats="0" applyBorderFormats="0" applyFontFormats="0" applyPatternFormats="0" applyAlignmentFormats="0" applyWidthHeightFormats="0">
  <queryTableRefresh nextId="13" unboundColumnsLeft="2">
    <queryTableFields count="7">
      <queryTableField id="7" dataBound="0" tableColumnId="8"/>
      <queryTableField id="12" dataBound="0" tableColumnId="1"/>
      <queryTableField id="5" name="Transaction Date" tableColumnId="5"/>
      <queryTableField id="6" name="Transaction Time" tableColumnId="6"/>
      <queryTableField id="3" name="Period" tableColumnId="3"/>
      <queryTableField id="2" name="Coffee Name" tableColumnId="2"/>
      <queryTableField id="1" name="Amount" tableColumnId="7"/>
    </queryTableFields>
    <queryTableDeletedFields count="1">
      <deletedField name="Day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876401-C3EF-4961-9014-D0ADBE74E6DC}" name="Coffee_sales_clean" displayName="Coffee_sales_clean" ref="A1:G3229" tableType="queryTable" totalsRowShown="0">
  <autoFilter ref="A1:G3229" xr:uid="{80876401-C3EF-4961-9014-D0ADBE74E6DC}"/>
  <tableColumns count="7">
    <tableColumn id="8" xr3:uid="{98B7F23E-EC68-4E86-A90F-1BC3C89F1144}" uniqueName="8" name="Invoice" queryTableFieldId="7" dataDxfId="6">
      <calculatedColumnFormula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calculatedColumnFormula>
    </tableColumn>
    <tableColumn id="1" xr3:uid="{86D4A3B6-F768-44C6-85F6-40EF10638F8A}" uniqueName="1" name="Transaction Day" queryTableFieldId="12" dataDxfId="1">
      <calculatedColumnFormula>TEXT(Coffee_sales_clean[[#This Row],[Transaction Date]],"dddd")</calculatedColumnFormula>
    </tableColumn>
    <tableColumn id="5" xr3:uid="{D4C48AA1-F204-473A-B062-BD22AC04813B}" uniqueName="5" name="Transaction Date" queryTableFieldId="5" dataDxfId="0"/>
    <tableColumn id="6" xr3:uid="{CD9106AF-6CCD-4B51-90D1-234BF13DC081}" uniqueName="6" name="Transaction Time" queryTableFieldId="6" dataDxfId="5"/>
    <tableColumn id="3" xr3:uid="{3B03F344-8FC4-4989-98F6-55B9BD973E6A}" uniqueName="3" name="Period" queryTableFieldId="3" dataDxfId="4"/>
    <tableColumn id="2" xr3:uid="{12188CEF-81F0-4EB6-8A04-E94663B989B5}" uniqueName="2" name="Coffee Name" queryTableFieldId="2" dataDxfId="3"/>
    <tableColumn id="7" xr3:uid="{1A4C4613-20AA-4D2F-BEDC-501134CC4045}" uniqueName="7" name="Amount" queryTableFieldId="1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48EE-6A32-4A78-AC3D-7FE30C6CB434}">
  <dimension ref="A1:G3548"/>
  <sheetViews>
    <sheetView tabSelected="1" workbookViewId="0">
      <selection activeCell="C2" sqref="C2"/>
    </sheetView>
  </sheetViews>
  <sheetFormatPr defaultRowHeight="15" x14ac:dyDescent="0.25"/>
  <cols>
    <col min="1" max="1" width="16" bestFit="1" customWidth="1"/>
    <col min="2" max="2" width="17.28515625" style="3" bestFit="1" customWidth="1"/>
    <col min="3" max="3" width="18.140625" style="4" bestFit="1" customWidth="1"/>
    <col min="4" max="4" width="18.42578125" bestFit="1" customWidth="1"/>
    <col min="5" max="5" width="19.5703125" bestFit="1" customWidth="1"/>
    <col min="6" max="6" width="10.42578125" bestFit="1" customWidth="1"/>
    <col min="7" max="7" width="10.42578125" style="2" customWidth="1"/>
    <col min="10" max="10" width="18.42578125" bestFit="1" customWidth="1"/>
  </cols>
  <sheetData>
    <row r="1" spans="1:7" x14ac:dyDescent="0.25">
      <c r="A1" t="s">
        <v>13</v>
      </c>
      <c r="B1" t="s">
        <v>15</v>
      </c>
      <c r="C1" s="3" t="s">
        <v>11</v>
      </c>
      <c r="D1" s="4" t="s">
        <v>12</v>
      </c>
      <c r="E1" t="s">
        <v>10</v>
      </c>
      <c r="F1" t="s">
        <v>9</v>
      </c>
      <c r="G1" s="2" t="s">
        <v>8</v>
      </c>
    </row>
    <row r="2" spans="1:7" x14ac:dyDescent="0.25">
      <c r="A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240301-MOR001</v>
      </c>
      <c r="B2" s="1" t="str">
        <f>TEXT(Coffee_sales_clean[[#This Row],[Transaction Date]],"dddd")</f>
        <v>Friday</v>
      </c>
      <c r="C2" s="12">
        <v>45352</v>
      </c>
      <c r="D2" s="4">
        <v>0.42766805555555554</v>
      </c>
      <c r="E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" t="s">
        <v>0</v>
      </c>
      <c r="G2" s="2">
        <v>38.700000000000003</v>
      </c>
    </row>
    <row r="3" spans="1:7" x14ac:dyDescent="0.25">
      <c r="A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240301-LUN001</v>
      </c>
      <c r="B3" s="1" t="str">
        <f>TEXT(Coffee_sales_clean[[#This Row],[Transaction Date]],"dddd")</f>
        <v>Friday</v>
      </c>
      <c r="C3" s="12">
        <v>45352</v>
      </c>
      <c r="D3" s="4">
        <v>0.51345531249999998</v>
      </c>
      <c r="E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" t="s">
        <v>1</v>
      </c>
      <c r="G3" s="2">
        <v>38.700000000000003</v>
      </c>
    </row>
    <row r="4" spans="1:7" x14ac:dyDescent="0.25">
      <c r="A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240301-LUN002</v>
      </c>
      <c r="B4" s="1" t="str">
        <f>TEXT(Coffee_sales_clean[[#This Row],[Transaction Date]],"dddd")</f>
        <v>Friday</v>
      </c>
      <c r="C4" s="12">
        <v>45352</v>
      </c>
      <c r="D4" s="4">
        <v>0.51409825231481476</v>
      </c>
      <c r="E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" t="s">
        <v>1</v>
      </c>
      <c r="G4" s="2">
        <v>38.700000000000003</v>
      </c>
    </row>
    <row r="5" spans="1:7" x14ac:dyDescent="0.25">
      <c r="A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240301-LUN003</v>
      </c>
      <c r="B5" s="1" t="str">
        <f>TEXT(Coffee_sales_clean[[#This Row],[Transaction Date]],"dddd")</f>
        <v>Friday</v>
      </c>
      <c r="C5" s="12">
        <v>45352</v>
      </c>
      <c r="D5" s="4">
        <v>0.57399312499999999</v>
      </c>
      <c r="E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" t="s">
        <v>2</v>
      </c>
      <c r="G5" s="2">
        <v>28.9</v>
      </c>
    </row>
    <row r="6" spans="1:7" x14ac:dyDescent="0.25">
      <c r="A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240301-LUN004</v>
      </c>
      <c r="B6" s="1" t="str">
        <f>TEXT(Coffee_sales_clean[[#This Row],[Transaction Date]],"dddd")</f>
        <v>Friday</v>
      </c>
      <c r="C6" s="12">
        <v>45352</v>
      </c>
      <c r="D6" s="4">
        <v>0.57516928240740739</v>
      </c>
      <c r="E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" t="s">
        <v>0</v>
      </c>
      <c r="G6" s="2">
        <v>38.700000000000003</v>
      </c>
    </row>
    <row r="7" spans="1:7" x14ac:dyDescent="0.25">
      <c r="A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240301-AFT001</v>
      </c>
      <c r="B7" s="1" t="str">
        <f>TEXT(Coffee_sales_clean[[#This Row],[Transaction Date]],"dddd")</f>
        <v>Friday</v>
      </c>
      <c r="C7" s="12">
        <v>45352</v>
      </c>
      <c r="D7" s="4">
        <v>0.65263571759259265</v>
      </c>
      <c r="E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" t="s">
        <v>3</v>
      </c>
      <c r="G7" s="2">
        <v>33.799999999999997</v>
      </c>
    </row>
    <row r="8" spans="1:7" x14ac:dyDescent="0.25">
      <c r="A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240301-AFT002</v>
      </c>
      <c r="B8" s="1" t="str">
        <f>TEXT(Coffee_sales_clean[[#This Row],[Transaction Date]],"dddd")</f>
        <v>Friday</v>
      </c>
      <c r="C8" s="12">
        <v>45352</v>
      </c>
      <c r="D8" s="4">
        <v>0.67989300925925922</v>
      </c>
      <c r="E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" t="s">
        <v>1</v>
      </c>
      <c r="G8" s="2">
        <v>38.700000000000003</v>
      </c>
    </row>
    <row r="9" spans="1:7" x14ac:dyDescent="0.25">
      <c r="A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240301-EVE001</v>
      </c>
      <c r="B9" s="1" t="str">
        <f>TEXT(Coffee_sales_clean[[#This Row],[Transaction Date]],"dddd")</f>
        <v>Friday</v>
      </c>
      <c r="C9" s="12">
        <v>45352</v>
      </c>
      <c r="D9" s="4">
        <v>0.77712476851851853</v>
      </c>
      <c r="E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" t="s">
        <v>3</v>
      </c>
      <c r="G9" s="2">
        <v>33.799999999999997</v>
      </c>
    </row>
    <row r="10" spans="1:7" x14ac:dyDescent="0.25">
      <c r="A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240301-EVE002</v>
      </c>
      <c r="B10" s="1" t="str">
        <f>TEXT(Coffee_sales_clean[[#This Row],[Transaction Date]],"dddd")</f>
        <v>Friday</v>
      </c>
      <c r="C10" s="12">
        <v>45352</v>
      </c>
      <c r="D10" s="4">
        <v>0.80696483796296292</v>
      </c>
      <c r="E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" t="s">
        <v>4</v>
      </c>
      <c r="G10" s="2">
        <v>38.700000000000003</v>
      </c>
    </row>
    <row r="11" spans="1:7" x14ac:dyDescent="0.25">
      <c r="A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240301-EVE003</v>
      </c>
      <c r="B11" s="1" t="str">
        <f>TEXT(Coffee_sales_clean[[#This Row],[Transaction Date]],"dddd")</f>
        <v>Friday</v>
      </c>
      <c r="C11" s="12">
        <v>45352</v>
      </c>
      <c r="D11" s="4">
        <v>0.80782276620370375</v>
      </c>
      <c r="E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" t="s">
        <v>3</v>
      </c>
      <c r="G11" s="2">
        <v>33.799999999999997</v>
      </c>
    </row>
    <row r="12" spans="1:7" x14ac:dyDescent="0.25">
      <c r="A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240301-EVE004</v>
      </c>
      <c r="B12" s="1" t="str">
        <f>TEXT(Coffee_sales_clean[[#This Row],[Transaction Date]],"dddd")</f>
        <v>Friday</v>
      </c>
      <c r="C12" s="12">
        <v>45352</v>
      </c>
      <c r="D12" s="4">
        <v>0.81200684027777781</v>
      </c>
      <c r="E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" t="s">
        <v>3</v>
      </c>
      <c r="G12" s="2">
        <v>33.799999999999997</v>
      </c>
    </row>
    <row r="13" spans="1:7" x14ac:dyDescent="0.25">
      <c r="A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240302-MOR001</v>
      </c>
      <c r="B13" s="1" t="str">
        <f>TEXT(Coffee_sales_clean[[#This Row],[Transaction Date]],"dddd")</f>
        <v>Saturday</v>
      </c>
      <c r="C13" s="12">
        <v>45353</v>
      </c>
      <c r="D13" s="4">
        <v>0.43202496527777778</v>
      </c>
      <c r="E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" t="s">
        <v>2</v>
      </c>
      <c r="G13" s="2">
        <v>28.9</v>
      </c>
    </row>
    <row r="14" spans="1:7" x14ac:dyDescent="0.25">
      <c r="A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240302-MOR002</v>
      </c>
      <c r="B14" s="1" t="str">
        <f>TEXT(Coffee_sales_clean[[#This Row],[Transaction Date]],"dddd")</f>
        <v>Saturday</v>
      </c>
      <c r="C14" s="12">
        <v>45353</v>
      </c>
      <c r="D14" s="4">
        <v>0.44561630787037038</v>
      </c>
      <c r="E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" t="s">
        <v>3</v>
      </c>
      <c r="G14" s="2">
        <v>33.799999999999997</v>
      </c>
    </row>
    <row r="15" spans="1:7" x14ac:dyDescent="0.25">
      <c r="A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240302-LUN001</v>
      </c>
      <c r="B15" s="1" t="str">
        <f>TEXT(Coffee_sales_clean[[#This Row],[Transaction Date]],"dddd")</f>
        <v>Saturday</v>
      </c>
      <c r="C15" s="12">
        <v>45353</v>
      </c>
      <c r="D15" s="4">
        <v>0.49983199074074075</v>
      </c>
      <c r="E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" t="s">
        <v>3</v>
      </c>
      <c r="G15" s="2">
        <v>33.799999999999997</v>
      </c>
    </row>
    <row r="16" spans="1:7" x14ac:dyDescent="0.25">
      <c r="A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240302-AFT001</v>
      </c>
      <c r="B16" s="1" t="str">
        <f>TEXT(Coffee_sales_clean[[#This Row],[Transaction Date]],"dddd")</f>
        <v>Saturday</v>
      </c>
      <c r="C16" s="12">
        <v>45353</v>
      </c>
      <c r="D16" s="4">
        <v>0.61013350694444446</v>
      </c>
      <c r="E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" t="s">
        <v>2</v>
      </c>
      <c r="G16" s="2">
        <v>28.9</v>
      </c>
    </row>
    <row r="17" spans="1:7" x14ac:dyDescent="0.25">
      <c r="A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240302-AFT002</v>
      </c>
      <c r="B17" s="1" t="str">
        <f>TEXT(Coffee_sales_clean[[#This Row],[Transaction Date]],"dddd")</f>
        <v>Saturday</v>
      </c>
      <c r="C17" s="12">
        <v>45353</v>
      </c>
      <c r="D17" s="4">
        <v>0.69264438657407412</v>
      </c>
      <c r="E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" t="s">
        <v>3</v>
      </c>
      <c r="G17" s="2">
        <v>33.799999999999997</v>
      </c>
    </row>
    <row r="18" spans="1:7" x14ac:dyDescent="0.25">
      <c r="A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240302-EVE001</v>
      </c>
      <c r="B18" s="1" t="str">
        <f>TEXT(Coffee_sales_clean[[#This Row],[Transaction Date]],"dddd")</f>
        <v>Saturday</v>
      </c>
      <c r="C18" s="12">
        <v>45353</v>
      </c>
      <c r="D18" s="4">
        <v>0.73258065972222219</v>
      </c>
      <c r="E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" t="s">
        <v>2</v>
      </c>
      <c r="G18" s="2">
        <v>28.9</v>
      </c>
    </row>
    <row r="19" spans="1:7" x14ac:dyDescent="0.25">
      <c r="A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240303-MOR001</v>
      </c>
      <c r="B19" s="1" t="str">
        <f>TEXT(Coffee_sales_clean[[#This Row],[Transaction Date]],"dddd")</f>
        <v>Sunday</v>
      </c>
      <c r="C19" s="12">
        <v>45354</v>
      </c>
      <c r="D19" s="4">
        <v>0.43563149305555554</v>
      </c>
      <c r="E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" t="s">
        <v>0</v>
      </c>
      <c r="G19" s="2">
        <v>38.700000000000003</v>
      </c>
    </row>
    <row r="20" spans="1:7" x14ac:dyDescent="0.25">
      <c r="A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240303-LUN001</v>
      </c>
      <c r="B20" s="1" t="str">
        <f>TEXT(Coffee_sales_clean[[#This Row],[Transaction Date]],"dddd")</f>
        <v>Sunday</v>
      </c>
      <c r="C20" s="12">
        <v>45354</v>
      </c>
      <c r="D20" s="4">
        <v>0.48189951388888891</v>
      </c>
      <c r="E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" t="s">
        <v>5</v>
      </c>
      <c r="G20" s="2">
        <v>28.9</v>
      </c>
    </row>
    <row r="21" spans="1:7" x14ac:dyDescent="0.25">
      <c r="A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240303-LUN002</v>
      </c>
      <c r="B21" s="1" t="str">
        <f>TEXT(Coffee_sales_clean[[#This Row],[Transaction Date]],"dddd")</f>
        <v>Sunday</v>
      </c>
      <c r="C21" s="12">
        <v>45354</v>
      </c>
      <c r="D21" s="4">
        <v>0.51870483796296296</v>
      </c>
      <c r="E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" t="s">
        <v>2</v>
      </c>
      <c r="G21" s="2">
        <v>28.9</v>
      </c>
    </row>
    <row r="22" spans="1:7" x14ac:dyDescent="0.25">
      <c r="A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240303-LUN003</v>
      </c>
      <c r="B22" s="1" t="str">
        <f>TEXT(Coffee_sales_clean[[#This Row],[Transaction Date]],"dddd")</f>
        <v>Sunday</v>
      </c>
      <c r="C22" s="12">
        <v>45354</v>
      </c>
      <c r="D22" s="4">
        <v>0.5483370486111111</v>
      </c>
      <c r="E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" t="s">
        <v>1</v>
      </c>
      <c r="G22" s="2">
        <v>38.700000000000003</v>
      </c>
    </row>
    <row r="23" spans="1:7" x14ac:dyDescent="0.25">
      <c r="A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240303-EVE001</v>
      </c>
      <c r="B23" s="1" t="str">
        <f>TEXT(Coffee_sales_clean[[#This Row],[Transaction Date]],"dddd")</f>
        <v>Sunday</v>
      </c>
      <c r="C23" s="12">
        <v>45354</v>
      </c>
      <c r="D23" s="4">
        <v>0.71296609953703705</v>
      </c>
      <c r="E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" t="s">
        <v>4</v>
      </c>
      <c r="G23" s="2">
        <v>38.700000000000003</v>
      </c>
    </row>
    <row r="24" spans="1:7" x14ac:dyDescent="0.25">
      <c r="A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240303-EVE002</v>
      </c>
      <c r="B24" s="1" t="str">
        <f>TEXT(Coffee_sales_clean[[#This Row],[Transaction Date]],"dddd")</f>
        <v>Sunday</v>
      </c>
      <c r="C24" s="12">
        <v>45354</v>
      </c>
      <c r="D24" s="4">
        <v>0.7144200810185185</v>
      </c>
      <c r="E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" t="s">
        <v>5</v>
      </c>
      <c r="G24" s="2">
        <v>28.9</v>
      </c>
    </row>
    <row r="25" spans="1:7" x14ac:dyDescent="0.25">
      <c r="A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240303-EVE003</v>
      </c>
      <c r="B25" s="1" t="str">
        <f>TEXT(Coffee_sales_clean[[#This Row],[Transaction Date]],"dddd")</f>
        <v>Sunday</v>
      </c>
      <c r="C25" s="12">
        <v>45354</v>
      </c>
      <c r="D25" s="4">
        <v>0.75235380787037032</v>
      </c>
      <c r="E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" t="s">
        <v>3</v>
      </c>
      <c r="G25" s="2">
        <v>33.799999999999997</v>
      </c>
    </row>
    <row r="26" spans="1:7" x14ac:dyDescent="0.25">
      <c r="A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240303-EVE004</v>
      </c>
      <c r="B26" s="1" t="str">
        <f>TEXT(Coffee_sales_clean[[#This Row],[Transaction Date]],"dddd")</f>
        <v>Sunday</v>
      </c>
      <c r="C26" s="12">
        <v>45354</v>
      </c>
      <c r="D26" s="4">
        <v>0.75310122685185188</v>
      </c>
      <c r="E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" t="s">
        <v>3</v>
      </c>
      <c r="G26" s="2">
        <v>33.799999999999997</v>
      </c>
    </row>
    <row r="27" spans="1:7" x14ac:dyDescent="0.25">
      <c r="A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240303-EVE005</v>
      </c>
      <c r="B27" s="1" t="str">
        <f>TEXT(Coffee_sales_clean[[#This Row],[Transaction Date]],"dddd")</f>
        <v>Sunday</v>
      </c>
      <c r="C27" s="12">
        <v>45354</v>
      </c>
      <c r="D27" s="4">
        <v>0.75561295138888884</v>
      </c>
      <c r="E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" t="s">
        <v>1</v>
      </c>
      <c r="G27" s="2">
        <v>38.700000000000003</v>
      </c>
    </row>
    <row r="28" spans="1:7" x14ac:dyDescent="0.25">
      <c r="A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240304-MOR001</v>
      </c>
      <c r="B28" s="1" t="str">
        <f>TEXT(Coffee_sales_clean[[#This Row],[Transaction Date]],"dddd")</f>
        <v>Monday</v>
      </c>
      <c r="C28" s="12">
        <v>45355</v>
      </c>
      <c r="D28" s="4">
        <v>0.41935178240740739</v>
      </c>
      <c r="E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" t="s">
        <v>0</v>
      </c>
      <c r="G28" s="2">
        <v>38.700000000000003</v>
      </c>
    </row>
    <row r="29" spans="1:7" x14ac:dyDescent="0.25">
      <c r="A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240304-MOR002</v>
      </c>
      <c r="B29" s="1" t="str">
        <f>TEXT(Coffee_sales_clean[[#This Row],[Transaction Date]],"dddd")</f>
        <v>Monday</v>
      </c>
      <c r="C29" s="12">
        <v>45355</v>
      </c>
      <c r="D29" s="4">
        <v>0.45475645833333334</v>
      </c>
      <c r="E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" t="s">
        <v>0</v>
      </c>
      <c r="G29" s="2">
        <v>38.700000000000003</v>
      </c>
    </row>
    <row r="30" spans="1:7" x14ac:dyDescent="0.25">
      <c r="A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240304-LUN001</v>
      </c>
      <c r="B30" s="1" t="str">
        <f>TEXT(Coffee_sales_clean[[#This Row],[Transaction Date]],"dddd")</f>
        <v>Monday</v>
      </c>
      <c r="C30" s="12">
        <v>45355</v>
      </c>
      <c r="D30" s="4">
        <v>0.46199287037037035</v>
      </c>
      <c r="E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" t="s">
        <v>3</v>
      </c>
      <c r="G30" s="2">
        <v>33.799999999999997</v>
      </c>
    </row>
    <row r="31" spans="1:7" x14ac:dyDescent="0.25">
      <c r="A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240304-AFT001</v>
      </c>
      <c r="B31" s="1" t="str">
        <f>TEXT(Coffee_sales_clean[[#This Row],[Transaction Date]],"dddd")</f>
        <v>Monday</v>
      </c>
      <c r="C31" s="12">
        <v>45355</v>
      </c>
      <c r="D31" s="4">
        <v>0.5865478472222222</v>
      </c>
      <c r="E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" t="s">
        <v>6</v>
      </c>
      <c r="G31" s="2">
        <v>24</v>
      </c>
    </row>
    <row r="32" spans="1:7" x14ac:dyDescent="0.25">
      <c r="A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240305-MOR001</v>
      </c>
      <c r="B32" s="1" t="str">
        <f>TEXT(Coffee_sales_clean[[#This Row],[Transaction Date]],"dddd")</f>
        <v>Tuesday</v>
      </c>
      <c r="C32" s="12">
        <v>45356</v>
      </c>
      <c r="D32" s="4">
        <v>0.4165816087962963</v>
      </c>
      <c r="E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2" t="s">
        <v>0</v>
      </c>
      <c r="G32" s="2">
        <v>38.700000000000003</v>
      </c>
    </row>
    <row r="33" spans="1:7" x14ac:dyDescent="0.25">
      <c r="A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240305-AFT001</v>
      </c>
      <c r="B33" s="1" t="str">
        <f>TEXT(Coffee_sales_clean[[#This Row],[Transaction Date]],"dddd")</f>
        <v>Tuesday</v>
      </c>
      <c r="C33" s="12">
        <v>45356</v>
      </c>
      <c r="D33" s="4">
        <v>0.60759216435185182</v>
      </c>
      <c r="E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3" t="s">
        <v>0</v>
      </c>
      <c r="G33" s="2">
        <v>38.700000000000003</v>
      </c>
    </row>
    <row r="34" spans="1:7" x14ac:dyDescent="0.25">
      <c r="A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240305-EVE001</v>
      </c>
      <c r="B34" s="1" t="str">
        <f>TEXT(Coffee_sales_clean[[#This Row],[Transaction Date]],"dddd")</f>
        <v>Tuesday</v>
      </c>
      <c r="C34" s="12">
        <v>45356</v>
      </c>
      <c r="D34" s="4">
        <v>0.73201438657407403</v>
      </c>
      <c r="E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4" t="s">
        <v>0</v>
      </c>
      <c r="G34" s="2">
        <v>38.700000000000003</v>
      </c>
    </row>
    <row r="35" spans="1:7" x14ac:dyDescent="0.25">
      <c r="A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240305-EVE002</v>
      </c>
      <c r="B35" s="1" t="str">
        <f>TEXT(Coffee_sales_clean[[#This Row],[Transaction Date]],"dddd")</f>
        <v>Tuesday</v>
      </c>
      <c r="C35" s="12">
        <v>45356</v>
      </c>
      <c r="D35" s="4">
        <v>0.73292848379629627</v>
      </c>
      <c r="E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5" t="s">
        <v>1</v>
      </c>
      <c r="G35" s="2">
        <v>38.700000000000003</v>
      </c>
    </row>
    <row r="36" spans="1:7" x14ac:dyDescent="0.25">
      <c r="A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240305-EVE003</v>
      </c>
      <c r="B36" s="1" t="str">
        <f>TEXT(Coffee_sales_clean[[#This Row],[Transaction Date]],"dddd")</f>
        <v>Tuesday</v>
      </c>
      <c r="C36" s="12">
        <v>45356</v>
      </c>
      <c r="D36" s="4">
        <v>0.73366401620370369</v>
      </c>
      <c r="E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6" t="s">
        <v>4</v>
      </c>
      <c r="G36" s="2">
        <v>38.700000000000003</v>
      </c>
    </row>
    <row r="37" spans="1:7" x14ac:dyDescent="0.25">
      <c r="A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240305-EVE004</v>
      </c>
      <c r="B37" s="1" t="str">
        <f>TEXT(Coffee_sales_clean[[#This Row],[Transaction Date]],"dddd")</f>
        <v>Tuesday</v>
      </c>
      <c r="C37" s="12">
        <v>45356</v>
      </c>
      <c r="D37" s="4">
        <v>0.73418586805555552</v>
      </c>
      <c r="E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7" t="s">
        <v>1</v>
      </c>
      <c r="G37" s="2">
        <v>38.700000000000003</v>
      </c>
    </row>
    <row r="38" spans="1:7" x14ac:dyDescent="0.25">
      <c r="A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240305-EVE005</v>
      </c>
      <c r="B38" s="1" t="str">
        <f>TEXT(Coffee_sales_clean[[#This Row],[Transaction Date]],"dddd")</f>
        <v>Tuesday</v>
      </c>
      <c r="C38" s="12">
        <v>45356</v>
      </c>
      <c r="D38" s="4">
        <v>0.73483048611111113</v>
      </c>
      <c r="E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8" t="s">
        <v>1</v>
      </c>
      <c r="G38" s="2">
        <v>38.700000000000003</v>
      </c>
    </row>
    <row r="39" spans="1:7" x14ac:dyDescent="0.25">
      <c r="A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240305-EVE006</v>
      </c>
      <c r="B39" s="1" t="str">
        <f>TEXT(Coffee_sales_clean[[#This Row],[Transaction Date]],"dddd")</f>
        <v>Tuesday</v>
      </c>
      <c r="C39" s="12">
        <v>45356</v>
      </c>
      <c r="D39" s="4">
        <v>0.7474048148148148</v>
      </c>
      <c r="E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9" t="s">
        <v>5</v>
      </c>
      <c r="G39" s="2">
        <v>28.9</v>
      </c>
    </row>
    <row r="40" spans="1:7" x14ac:dyDescent="0.25">
      <c r="A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240305-EVE007</v>
      </c>
      <c r="B40" s="1" t="str">
        <f>TEXT(Coffee_sales_clean[[#This Row],[Transaction Date]],"dddd")</f>
        <v>Tuesday</v>
      </c>
      <c r="C40" s="12">
        <v>45356</v>
      </c>
      <c r="D40" s="4">
        <v>0.75105604166666662</v>
      </c>
      <c r="E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0" t="s">
        <v>1</v>
      </c>
      <c r="G40" s="2">
        <v>38.700000000000003</v>
      </c>
    </row>
    <row r="41" spans="1:7" x14ac:dyDescent="0.25">
      <c r="A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240306-LUN001</v>
      </c>
      <c r="B41" s="1" t="str">
        <f>TEXT(Coffee_sales_clean[[#This Row],[Transaction Date]],"dddd")</f>
        <v>Wednesday</v>
      </c>
      <c r="C41" s="12">
        <v>45357</v>
      </c>
      <c r="D41" s="4">
        <v>0.55842207175925929</v>
      </c>
      <c r="E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1" t="s">
        <v>2</v>
      </c>
      <c r="G41" s="2">
        <v>28.9</v>
      </c>
    </row>
    <row r="42" spans="1:7" x14ac:dyDescent="0.25">
      <c r="A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240306-LUN002</v>
      </c>
      <c r="B42" s="1" t="str">
        <f>TEXT(Coffee_sales_clean[[#This Row],[Transaction Date]],"dddd")</f>
        <v>Wednesday</v>
      </c>
      <c r="C42" s="12">
        <v>45357</v>
      </c>
      <c r="D42" s="4">
        <v>0.55919387731481485</v>
      </c>
      <c r="E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2" t="s">
        <v>5</v>
      </c>
      <c r="G42" s="2">
        <v>28.9</v>
      </c>
    </row>
    <row r="43" spans="1:7" x14ac:dyDescent="0.25">
      <c r="A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240306-AFT001</v>
      </c>
      <c r="B43" s="1" t="str">
        <f>TEXT(Coffee_sales_clean[[#This Row],[Transaction Date]],"dddd")</f>
        <v>Wednesday</v>
      </c>
      <c r="C43" s="12">
        <v>45357</v>
      </c>
      <c r="D43" s="4">
        <v>0.61946482638888889</v>
      </c>
      <c r="E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3" t="s">
        <v>7</v>
      </c>
      <c r="G43" s="2">
        <v>38.700000000000003</v>
      </c>
    </row>
    <row r="44" spans="1:7" x14ac:dyDescent="0.25">
      <c r="A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240306-AFT002</v>
      </c>
      <c r="B44" s="1" t="str">
        <f>TEXT(Coffee_sales_clean[[#This Row],[Transaction Date]],"dddd")</f>
        <v>Wednesday</v>
      </c>
      <c r="C44" s="12">
        <v>45357</v>
      </c>
      <c r="D44" s="4">
        <v>0.62035120370370367</v>
      </c>
      <c r="E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4" t="s">
        <v>7</v>
      </c>
      <c r="G44" s="2">
        <v>38.700000000000003</v>
      </c>
    </row>
    <row r="45" spans="1:7" x14ac:dyDescent="0.25">
      <c r="A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240307-MOR001</v>
      </c>
      <c r="B45" s="1" t="str">
        <f>TEXT(Coffee_sales_clean[[#This Row],[Transaction Date]],"dddd")</f>
        <v>Thursday</v>
      </c>
      <c r="C45" s="12">
        <v>45358</v>
      </c>
      <c r="D45" s="4">
        <v>0.42963591435185183</v>
      </c>
      <c r="E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5" t="s">
        <v>1</v>
      </c>
      <c r="G45" s="2">
        <v>38.700000000000003</v>
      </c>
    </row>
    <row r="46" spans="1:7" x14ac:dyDescent="0.25">
      <c r="A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240307-LUN001</v>
      </c>
      <c r="B46" s="1" t="str">
        <f>TEXT(Coffee_sales_clean[[#This Row],[Transaction Date]],"dddd")</f>
        <v>Thursday</v>
      </c>
      <c r="C46" s="12">
        <v>45358</v>
      </c>
      <c r="D46" s="4">
        <v>0.46109925925925926</v>
      </c>
      <c r="E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6" t="s">
        <v>0</v>
      </c>
      <c r="G46" s="2">
        <v>38.700000000000003</v>
      </c>
    </row>
    <row r="47" spans="1:7" x14ac:dyDescent="0.25">
      <c r="A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240307-AFT001</v>
      </c>
      <c r="B47" s="1" t="str">
        <f>TEXT(Coffee_sales_clean[[#This Row],[Transaction Date]],"dddd")</f>
        <v>Thursday</v>
      </c>
      <c r="C47" s="12">
        <v>45358</v>
      </c>
      <c r="D47" s="4">
        <v>0.65303942129629633</v>
      </c>
      <c r="E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7" t="s">
        <v>2</v>
      </c>
      <c r="G47" s="2">
        <v>28.9</v>
      </c>
    </row>
    <row r="48" spans="1:7" x14ac:dyDescent="0.25">
      <c r="A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240307-AFT002</v>
      </c>
      <c r="B48" s="1" t="str">
        <f>TEXT(Coffee_sales_clean[[#This Row],[Transaction Date]],"dddd")</f>
        <v>Thursday</v>
      </c>
      <c r="C48" s="12">
        <v>45358</v>
      </c>
      <c r="D48" s="4">
        <v>0.65380537037037034</v>
      </c>
      <c r="E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8" t="s">
        <v>3</v>
      </c>
      <c r="G48" s="2">
        <v>33.799999999999997</v>
      </c>
    </row>
    <row r="49" spans="1:7" x14ac:dyDescent="0.25">
      <c r="A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240308-MOR001</v>
      </c>
      <c r="B49" s="1" t="str">
        <f>TEXT(Coffee_sales_clean[[#This Row],[Transaction Date]],"dddd")</f>
        <v>Friday</v>
      </c>
      <c r="C49" s="12">
        <v>45359</v>
      </c>
      <c r="D49" s="4">
        <v>0.44075559027777778</v>
      </c>
      <c r="E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9" t="s">
        <v>5</v>
      </c>
      <c r="G49" s="2">
        <v>28.9</v>
      </c>
    </row>
    <row r="50" spans="1:7" x14ac:dyDescent="0.25">
      <c r="A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240308-LUN001</v>
      </c>
      <c r="B50" s="1" t="str">
        <f>TEXT(Coffee_sales_clean[[#This Row],[Transaction Date]],"dddd")</f>
        <v>Friday</v>
      </c>
      <c r="C50" s="12">
        <v>45359</v>
      </c>
      <c r="D50" s="4">
        <v>0.51560940972222224</v>
      </c>
      <c r="E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0" t="s">
        <v>7</v>
      </c>
      <c r="G50" s="2">
        <v>38.700000000000003</v>
      </c>
    </row>
    <row r="51" spans="1:7" x14ac:dyDescent="0.25">
      <c r="A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240308-LUN002</v>
      </c>
      <c r="B51" s="1" t="str">
        <f>TEXT(Coffee_sales_clean[[#This Row],[Transaction Date]],"dddd")</f>
        <v>Friday</v>
      </c>
      <c r="C51" s="12">
        <v>45359</v>
      </c>
      <c r="D51" s="4">
        <v>0.5784958564814815</v>
      </c>
      <c r="E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1" t="s">
        <v>2</v>
      </c>
      <c r="G51" s="2">
        <v>28.9</v>
      </c>
    </row>
    <row r="52" spans="1:7" x14ac:dyDescent="0.25">
      <c r="A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240308-AFT001</v>
      </c>
      <c r="B52" s="1" t="str">
        <f>TEXT(Coffee_sales_clean[[#This Row],[Transaction Date]],"dddd")</f>
        <v>Friday</v>
      </c>
      <c r="C52" s="12">
        <v>45359</v>
      </c>
      <c r="D52" s="4">
        <v>0.61403571759259257</v>
      </c>
      <c r="E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2" t="s">
        <v>2</v>
      </c>
      <c r="G52" s="2">
        <v>28.9</v>
      </c>
    </row>
    <row r="53" spans="1:7" x14ac:dyDescent="0.25">
      <c r="A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240308-AFT002</v>
      </c>
      <c r="B53" s="1" t="str">
        <f>TEXT(Coffee_sales_clean[[#This Row],[Transaction Date]],"dddd")</f>
        <v>Friday</v>
      </c>
      <c r="C53" s="12">
        <v>45359</v>
      </c>
      <c r="D53" s="4">
        <v>0.61471120370370369</v>
      </c>
      <c r="E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3" t="s">
        <v>2</v>
      </c>
      <c r="G53" s="2">
        <v>28.9</v>
      </c>
    </row>
    <row r="54" spans="1:7" x14ac:dyDescent="0.25">
      <c r="A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240308-AFT003</v>
      </c>
      <c r="B54" s="1" t="str">
        <f>TEXT(Coffee_sales_clean[[#This Row],[Transaction Date]],"dddd")</f>
        <v>Friday</v>
      </c>
      <c r="C54" s="12">
        <v>45359</v>
      </c>
      <c r="D54" s="4">
        <v>0.61540688657407405</v>
      </c>
      <c r="E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4" t="s">
        <v>3</v>
      </c>
      <c r="G54" s="2">
        <v>33.799999999999997</v>
      </c>
    </row>
    <row r="55" spans="1:7" x14ac:dyDescent="0.25">
      <c r="A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240308-EVE001</v>
      </c>
      <c r="B55" s="1" t="str">
        <f>TEXT(Coffee_sales_clean[[#This Row],[Transaction Date]],"dddd")</f>
        <v>Friday</v>
      </c>
      <c r="C55" s="12">
        <v>45359</v>
      </c>
      <c r="D55" s="4">
        <v>0.79017883101851849</v>
      </c>
      <c r="E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5" t="s">
        <v>0</v>
      </c>
      <c r="G55" s="2">
        <v>38.700000000000003</v>
      </c>
    </row>
    <row r="56" spans="1:7" x14ac:dyDescent="0.25">
      <c r="A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240308-EVE002</v>
      </c>
      <c r="B56" s="1" t="str">
        <f>TEXT(Coffee_sales_clean[[#This Row],[Transaction Date]],"dddd")</f>
        <v>Friday</v>
      </c>
      <c r="C56" s="12">
        <v>45359</v>
      </c>
      <c r="D56" s="4">
        <v>0.79126089120370369</v>
      </c>
      <c r="E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6" t="s">
        <v>0</v>
      </c>
      <c r="G56" s="2">
        <v>38.700000000000003</v>
      </c>
    </row>
    <row r="57" spans="1:7" x14ac:dyDescent="0.25">
      <c r="A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240309-LUN001</v>
      </c>
      <c r="B57" s="1" t="str">
        <f>TEXT(Coffee_sales_clean[[#This Row],[Transaction Date]],"dddd")</f>
        <v>Saturday</v>
      </c>
      <c r="C57" s="12">
        <v>45360</v>
      </c>
      <c r="D57" s="4">
        <v>0.50365230324074073</v>
      </c>
      <c r="E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7" t="s">
        <v>6</v>
      </c>
      <c r="G57" s="2">
        <v>24</v>
      </c>
    </row>
    <row r="58" spans="1:7" x14ac:dyDescent="0.25">
      <c r="A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240309-LUN002</v>
      </c>
      <c r="B58" s="1" t="str">
        <f>TEXT(Coffee_sales_clean[[#This Row],[Transaction Date]],"dddd")</f>
        <v>Saturday</v>
      </c>
      <c r="C58" s="12">
        <v>45360</v>
      </c>
      <c r="D58" s="4">
        <v>0.50530410879629628</v>
      </c>
      <c r="E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8" t="s">
        <v>2</v>
      </c>
      <c r="G58" s="2">
        <v>28.9</v>
      </c>
    </row>
    <row r="59" spans="1:7" x14ac:dyDescent="0.25">
      <c r="A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240309-LUN003</v>
      </c>
      <c r="B59" s="1" t="str">
        <f>TEXT(Coffee_sales_clean[[#This Row],[Transaction Date]],"dddd")</f>
        <v>Saturday</v>
      </c>
      <c r="C59" s="12">
        <v>45360</v>
      </c>
      <c r="D59" s="4">
        <v>0.50680224537037033</v>
      </c>
      <c r="E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9" t="s">
        <v>7</v>
      </c>
      <c r="G59" s="2">
        <v>38.700000000000003</v>
      </c>
    </row>
    <row r="60" spans="1:7" x14ac:dyDescent="0.25">
      <c r="A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240309-LUN004</v>
      </c>
      <c r="B60" s="1" t="str">
        <f>TEXT(Coffee_sales_clean[[#This Row],[Transaction Date]],"dddd")</f>
        <v>Saturday</v>
      </c>
      <c r="C60" s="12">
        <v>45360</v>
      </c>
      <c r="D60" s="4">
        <v>0.50906853009259256</v>
      </c>
      <c r="E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0" t="s">
        <v>2</v>
      </c>
      <c r="G60" s="2">
        <v>28.9</v>
      </c>
    </row>
    <row r="61" spans="1:7" x14ac:dyDescent="0.25">
      <c r="A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240309-LUN005</v>
      </c>
      <c r="B61" s="1" t="str">
        <f>TEXT(Coffee_sales_clean[[#This Row],[Transaction Date]],"dddd")</f>
        <v>Saturday</v>
      </c>
      <c r="C61" s="12">
        <v>45360</v>
      </c>
      <c r="D61" s="4">
        <v>0.51002844907407408</v>
      </c>
      <c r="E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1" t="s">
        <v>2</v>
      </c>
      <c r="G61" s="2">
        <v>28.9</v>
      </c>
    </row>
    <row r="62" spans="1:7" x14ac:dyDescent="0.25">
      <c r="A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240309-LUN006</v>
      </c>
      <c r="B62" s="1" t="str">
        <f>TEXT(Coffee_sales_clean[[#This Row],[Transaction Date]],"dddd")</f>
        <v>Saturday</v>
      </c>
      <c r="C62" s="12">
        <v>45360</v>
      </c>
      <c r="D62" s="4">
        <v>0.54817394675925923</v>
      </c>
      <c r="E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2" t="s">
        <v>0</v>
      </c>
      <c r="G62" s="2">
        <v>38.700000000000003</v>
      </c>
    </row>
    <row r="63" spans="1:7" x14ac:dyDescent="0.25">
      <c r="A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240309-LUN007</v>
      </c>
      <c r="B63" s="1" t="str">
        <f>TEXT(Coffee_sales_clean[[#This Row],[Transaction Date]],"dddd")</f>
        <v>Saturday</v>
      </c>
      <c r="C63" s="12">
        <v>45360</v>
      </c>
      <c r="D63" s="4">
        <v>0.57021026620370374</v>
      </c>
      <c r="E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3" t="s">
        <v>3</v>
      </c>
      <c r="G63" s="2">
        <v>33.799999999999997</v>
      </c>
    </row>
    <row r="64" spans="1:7" x14ac:dyDescent="0.25">
      <c r="A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240309-LUN008</v>
      </c>
      <c r="B64" s="1" t="str">
        <f>TEXT(Coffee_sales_clean[[#This Row],[Transaction Date]],"dddd")</f>
        <v>Saturday</v>
      </c>
      <c r="C64" s="12">
        <v>45360</v>
      </c>
      <c r="D64" s="4">
        <v>0.57859268518518514</v>
      </c>
      <c r="E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4" t="s">
        <v>5</v>
      </c>
      <c r="G64" s="2">
        <v>28.9</v>
      </c>
    </row>
    <row r="65" spans="1:7" x14ac:dyDescent="0.25">
      <c r="A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240309-LUN009</v>
      </c>
      <c r="B65" s="1" t="str">
        <f>TEXT(Coffee_sales_clean[[#This Row],[Transaction Date]],"dddd")</f>
        <v>Saturday</v>
      </c>
      <c r="C65" s="12">
        <v>45360</v>
      </c>
      <c r="D65" s="4">
        <v>0.57959291666666668</v>
      </c>
      <c r="E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5" t="s">
        <v>7</v>
      </c>
      <c r="G65" s="2">
        <v>38.700000000000003</v>
      </c>
    </row>
    <row r="66" spans="1:7" x14ac:dyDescent="0.25">
      <c r="A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240309-AFT001</v>
      </c>
      <c r="B66" s="1" t="str">
        <f>TEXT(Coffee_sales_clean[[#This Row],[Transaction Date]],"dddd")</f>
        <v>Saturday</v>
      </c>
      <c r="C66" s="12">
        <v>45360</v>
      </c>
      <c r="D66" s="4">
        <v>0.58891005787037032</v>
      </c>
      <c r="E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6" t="s">
        <v>3</v>
      </c>
      <c r="G66" s="2">
        <v>33.799999999999997</v>
      </c>
    </row>
    <row r="67" spans="1:7" x14ac:dyDescent="0.25">
      <c r="A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240309-AFT002</v>
      </c>
      <c r="B67" s="1" t="str">
        <f>TEXT(Coffee_sales_clean[[#This Row],[Transaction Date]],"dddd")</f>
        <v>Saturday</v>
      </c>
      <c r="C67" s="12">
        <v>45360</v>
      </c>
      <c r="D67" s="4">
        <v>0.60200084490740746</v>
      </c>
      <c r="E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7" t="s">
        <v>1</v>
      </c>
      <c r="G67" s="2">
        <v>38.700000000000003</v>
      </c>
    </row>
    <row r="68" spans="1:7" x14ac:dyDescent="0.25">
      <c r="A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240309-EVE001</v>
      </c>
      <c r="B68" s="1" t="str">
        <f>TEXT(Coffee_sales_clean[[#This Row],[Transaction Date]],"dddd")</f>
        <v>Saturday</v>
      </c>
      <c r="C68" s="12">
        <v>45360</v>
      </c>
      <c r="D68" s="4">
        <v>0.80413856481481483</v>
      </c>
      <c r="E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8" t="s">
        <v>7</v>
      </c>
      <c r="G68" s="2">
        <v>38.700000000000003</v>
      </c>
    </row>
    <row r="69" spans="1:7" x14ac:dyDescent="0.25">
      <c r="A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240309-EVE002</v>
      </c>
      <c r="B69" s="1" t="str">
        <f>TEXT(Coffee_sales_clean[[#This Row],[Transaction Date]],"dddd")</f>
        <v>Saturday</v>
      </c>
      <c r="C69" s="12">
        <v>45360</v>
      </c>
      <c r="D69" s="4">
        <v>0.80497782407407403</v>
      </c>
      <c r="E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9" t="s">
        <v>1</v>
      </c>
      <c r="G69" s="2">
        <v>38.700000000000003</v>
      </c>
    </row>
    <row r="70" spans="1:7" x14ac:dyDescent="0.25">
      <c r="A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240310-LUN001</v>
      </c>
      <c r="B70" s="1" t="str">
        <f>TEXT(Coffee_sales_clean[[#This Row],[Transaction Date]],"dddd")</f>
        <v>Sunday</v>
      </c>
      <c r="C70" s="12">
        <v>45361</v>
      </c>
      <c r="D70" s="4">
        <v>0.47176810185185186</v>
      </c>
      <c r="E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0" t="s">
        <v>6</v>
      </c>
      <c r="G70" s="2">
        <v>24</v>
      </c>
    </row>
    <row r="71" spans="1:7" x14ac:dyDescent="0.25">
      <c r="A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240310-EVE001</v>
      </c>
      <c r="B71" s="1" t="str">
        <f>TEXT(Coffee_sales_clean[[#This Row],[Transaction Date]],"dddd")</f>
        <v>Sunday</v>
      </c>
      <c r="C71" s="12">
        <v>45361</v>
      </c>
      <c r="D71" s="4">
        <v>0.81528331018518518</v>
      </c>
      <c r="E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1" t="s">
        <v>0</v>
      </c>
      <c r="G71" s="2">
        <v>38.700000000000003</v>
      </c>
    </row>
    <row r="72" spans="1:7" x14ac:dyDescent="0.25">
      <c r="A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240310-EVE002</v>
      </c>
      <c r="B72" s="1" t="str">
        <f>TEXT(Coffee_sales_clean[[#This Row],[Transaction Date]],"dddd")</f>
        <v>Sunday</v>
      </c>
      <c r="C72" s="12">
        <v>45361</v>
      </c>
      <c r="D72" s="4">
        <v>0.81660546296296299</v>
      </c>
      <c r="E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2" t="s">
        <v>5</v>
      </c>
      <c r="G72" s="2">
        <v>28.9</v>
      </c>
    </row>
    <row r="73" spans="1:7" x14ac:dyDescent="0.25">
      <c r="A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240311-LUN001</v>
      </c>
      <c r="B73" s="1" t="str">
        <f>TEXT(Coffee_sales_clean[[#This Row],[Transaction Date]],"dddd")</f>
        <v>Monday</v>
      </c>
      <c r="C73" s="12">
        <v>45362</v>
      </c>
      <c r="D73" s="4">
        <v>0.48123589120370369</v>
      </c>
      <c r="E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3" t="s">
        <v>7</v>
      </c>
      <c r="G73" s="2">
        <v>38.700000000000003</v>
      </c>
    </row>
    <row r="74" spans="1:7" x14ac:dyDescent="0.25">
      <c r="A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240311-AFT001</v>
      </c>
      <c r="B74" s="1" t="str">
        <f>TEXT(Coffee_sales_clean[[#This Row],[Transaction Date]],"dddd")</f>
        <v>Monday</v>
      </c>
      <c r="C74" s="12">
        <v>45362</v>
      </c>
      <c r="D74" s="4">
        <v>0.68363890046296294</v>
      </c>
      <c r="E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4" t="s">
        <v>2</v>
      </c>
      <c r="G74" s="2">
        <v>28.9</v>
      </c>
    </row>
    <row r="75" spans="1:7" x14ac:dyDescent="0.25">
      <c r="A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240311-AFT002</v>
      </c>
      <c r="B75" s="1" t="str">
        <f>TEXT(Coffee_sales_clean[[#This Row],[Transaction Date]],"dddd")</f>
        <v>Monday</v>
      </c>
      <c r="C75" s="12">
        <v>45362</v>
      </c>
      <c r="D75" s="4">
        <v>0.68455629629629633</v>
      </c>
      <c r="E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5" t="s">
        <v>0</v>
      </c>
      <c r="G75" s="2">
        <v>38.700000000000003</v>
      </c>
    </row>
    <row r="76" spans="1:7" x14ac:dyDescent="0.25">
      <c r="A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240311-AFT003</v>
      </c>
      <c r="B76" s="1" t="str">
        <f>TEXT(Coffee_sales_clean[[#This Row],[Transaction Date]],"dddd")</f>
        <v>Monday</v>
      </c>
      <c r="C76" s="12">
        <v>45362</v>
      </c>
      <c r="D76" s="4">
        <v>0.7019630555555556</v>
      </c>
      <c r="E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6" t="s">
        <v>5</v>
      </c>
      <c r="G76" s="2">
        <v>28.9</v>
      </c>
    </row>
    <row r="77" spans="1:7" x14ac:dyDescent="0.25">
      <c r="A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240312-MOR001</v>
      </c>
      <c r="B77" s="1" t="str">
        <f>TEXT(Coffee_sales_clean[[#This Row],[Transaction Date]],"dddd")</f>
        <v>Tuesday</v>
      </c>
      <c r="C77" s="12">
        <v>45363</v>
      </c>
      <c r="D77" s="4">
        <v>0.42748313657407405</v>
      </c>
      <c r="E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7" t="s">
        <v>2</v>
      </c>
      <c r="G77" s="2">
        <v>28.9</v>
      </c>
    </row>
    <row r="78" spans="1:7" x14ac:dyDescent="0.25">
      <c r="A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240312-MOR002</v>
      </c>
      <c r="B78" s="1" t="str">
        <f>TEXT(Coffee_sales_clean[[#This Row],[Transaction Date]],"dddd")</f>
        <v>Tuesday</v>
      </c>
      <c r="C78" s="12">
        <v>45363</v>
      </c>
      <c r="D78" s="4">
        <v>0.42806581018518519</v>
      </c>
      <c r="E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8" t="s">
        <v>5</v>
      </c>
      <c r="G78" s="2">
        <v>28.9</v>
      </c>
    </row>
    <row r="79" spans="1:7" x14ac:dyDescent="0.25">
      <c r="A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240312-LUN001</v>
      </c>
      <c r="B79" s="1" t="str">
        <f>TEXT(Coffee_sales_clean[[#This Row],[Transaction Date]],"dddd")</f>
        <v>Tuesday</v>
      </c>
      <c r="C79" s="12">
        <v>45363</v>
      </c>
      <c r="D79" s="4">
        <v>0.47275037037037038</v>
      </c>
      <c r="E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9" t="s">
        <v>1</v>
      </c>
      <c r="G79" s="2">
        <v>38.700000000000003</v>
      </c>
    </row>
    <row r="80" spans="1:7" x14ac:dyDescent="0.25">
      <c r="A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240312-LUN002</v>
      </c>
      <c r="B80" s="1" t="str">
        <f>TEXT(Coffee_sales_clean[[#This Row],[Transaction Date]],"dddd")</f>
        <v>Tuesday</v>
      </c>
      <c r="C80" s="12">
        <v>45363</v>
      </c>
      <c r="D80" s="4">
        <v>0.53221383101851849</v>
      </c>
      <c r="E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0" t="s">
        <v>3</v>
      </c>
      <c r="G80" s="2">
        <v>33.799999999999997</v>
      </c>
    </row>
    <row r="81" spans="1:7" x14ac:dyDescent="0.25">
      <c r="A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240312-LUN003</v>
      </c>
      <c r="B81" s="1" t="str">
        <f>TEXT(Coffee_sales_clean[[#This Row],[Transaction Date]],"dddd")</f>
        <v>Tuesday</v>
      </c>
      <c r="C81" s="12">
        <v>45363</v>
      </c>
      <c r="D81" s="4">
        <v>0.53294012731481477</v>
      </c>
      <c r="E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1" t="s">
        <v>2</v>
      </c>
      <c r="G81" s="2">
        <v>28.9</v>
      </c>
    </row>
    <row r="82" spans="1:7" x14ac:dyDescent="0.25">
      <c r="A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240312-AFT001</v>
      </c>
      <c r="B82" s="1" t="str">
        <f>TEXT(Coffee_sales_clean[[#This Row],[Transaction Date]],"dddd")</f>
        <v>Tuesday</v>
      </c>
      <c r="C82" s="12">
        <v>45363</v>
      </c>
      <c r="D82" s="4">
        <v>0.6775847800925926</v>
      </c>
      <c r="E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2" t="s">
        <v>2</v>
      </c>
      <c r="G82" s="2">
        <v>28.9</v>
      </c>
    </row>
    <row r="83" spans="1:7" x14ac:dyDescent="0.25">
      <c r="A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240313-LUN001</v>
      </c>
      <c r="B83" s="1" t="str">
        <f>TEXT(Coffee_sales_clean[[#This Row],[Transaction Date]],"dddd")</f>
        <v>Wednesday</v>
      </c>
      <c r="C83" s="12">
        <v>45364</v>
      </c>
      <c r="D83" s="4">
        <v>0.46299812499999998</v>
      </c>
      <c r="E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3" t="s">
        <v>1</v>
      </c>
      <c r="G83" s="2">
        <v>38.700000000000003</v>
      </c>
    </row>
    <row r="84" spans="1:7" x14ac:dyDescent="0.25">
      <c r="A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240313-LUN002</v>
      </c>
      <c r="B84" s="1" t="str">
        <f>TEXT(Coffee_sales_clean[[#This Row],[Transaction Date]],"dddd")</f>
        <v>Wednesday</v>
      </c>
      <c r="C84" s="12">
        <v>45364</v>
      </c>
      <c r="D84" s="4">
        <v>0.49186056712962961</v>
      </c>
      <c r="E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4" t="s">
        <v>2</v>
      </c>
      <c r="G84" s="2">
        <v>28.9</v>
      </c>
    </row>
    <row r="85" spans="1:7" x14ac:dyDescent="0.25">
      <c r="A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240313-LUN003</v>
      </c>
      <c r="B85" s="1" t="str">
        <f>TEXT(Coffee_sales_clean[[#This Row],[Transaction Date]],"dddd")</f>
        <v>Wednesday</v>
      </c>
      <c r="C85" s="12">
        <v>45364</v>
      </c>
      <c r="D85" s="4">
        <v>0.51257333333333333</v>
      </c>
      <c r="E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5" t="s">
        <v>2</v>
      </c>
      <c r="G85" s="2">
        <v>28.9</v>
      </c>
    </row>
    <row r="86" spans="1:7" x14ac:dyDescent="0.25">
      <c r="A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240313-LUN004</v>
      </c>
      <c r="B86" s="1" t="str">
        <f>TEXT(Coffee_sales_clean[[#This Row],[Transaction Date]],"dddd")</f>
        <v>Wednesday</v>
      </c>
      <c r="C86" s="12">
        <v>45364</v>
      </c>
      <c r="D86" s="4">
        <v>0.51325379629629631</v>
      </c>
      <c r="E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6" t="s">
        <v>2</v>
      </c>
      <c r="G86" s="2">
        <v>28.9</v>
      </c>
    </row>
    <row r="87" spans="1:7" x14ac:dyDescent="0.25">
      <c r="A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240313-AFT001</v>
      </c>
      <c r="B87" s="1" t="str">
        <f>TEXT(Coffee_sales_clean[[#This Row],[Transaction Date]],"dddd")</f>
        <v>Wednesday</v>
      </c>
      <c r="C87" s="12">
        <v>45364</v>
      </c>
      <c r="D87" s="4">
        <v>0.60186197916666662</v>
      </c>
      <c r="E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7" t="s">
        <v>3</v>
      </c>
      <c r="G87" s="2">
        <v>33.799999999999997</v>
      </c>
    </row>
    <row r="88" spans="1:7" x14ac:dyDescent="0.25">
      <c r="A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240313-AFT002</v>
      </c>
      <c r="B88" s="1" t="str">
        <f>TEXT(Coffee_sales_clean[[#This Row],[Transaction Date]],"dddd")</f>
        <v>Wednesday</v>
      </c>
      <c r="C88" s="12">
        <v>45364</v>
      </c>
      <c r="D88" s="4">
        <v>0.65303542824074079</v>
      </c>
      <c r="E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8" t="s">
        <v>6</v>
      </c>
      <c r="G88" s="2">
        <v>24</v>
      </c>
    </row>
    <row r="89" spans="1:7" x14ac:dyDescent="0.25">
      <c r="A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240313-AFT003</v>
      </c>
      <c r="B89" s="1" t="str">
        <f>TEXT(Coffee_sales_clean[[#This Row],[Transaction Date]],"dddd")</f>
        <v>Wednesday</v>
      </c>
      <c r="C89" s="12">
        <v>45364</v>
      </c>
      <c r="D89" s="4">
        <v>0.65370861111111112</v>
      </c>
      <c r="E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9" t="s">
        <v>6</v>
      </c>
      <c r="G89" s="2">
        <v>24</v>
      </c>
    </row>
    <row r="90" spans="1:7" x14ac:dyDescent="0.25">
      <c r="A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240313-AFT004</v>
      </c>
      <c r="B90" s="1" t="str">
        <f>TEXT(Coffee_sales_clean[[#This Row],[Transaction Date]],"dddd")</f>
        <v>Wednesday</v>
      </c>
      <c r="C90" s="12">
        <v>45364</v>
      </c>
      <c r="D90" s="4">
        <v>0.69941403935185187</v>
      </c>
      <c r="E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0" t="s">
        <v>6</v>
      </c>
      <c r="G90" s="2">
        <v>24</v>
      </c>
    </row>
    <row r="91" spans="1:7" x14ac:dyDescent="0.25">
      <c r="A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240314-MOR001</v>
      </c>
      <c r="B91" s="1" t="str">
        <f>TEXT(Coffee_sales_clean[[#This Row],[Transaction Date]],"dddd")</f>
        <v>Thursday</v>
      </c>
      <c r="C91" s="12">
        <v>45365</v>
      </c>
      <c r="D91" s="4">
        <v>0.43649325231481484</v>
      </c>
      <c r="E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1" t="s">
        <v>0</v>
      </c>
      <c r="G91" s="2">
        <v>38.700000000000003</v>
      </c>
    </row>
    <row r="92" spans="1:7" x14ac:dyDescent="0.25">
      <c r="A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240314-MOR002</v>
      </c>
      <c r="B92" s="1" t="str">
        <f>TEXT(Coffee_sales_clean[[#This Row],[Transaction Date]],"dddd")</f>
        <v>Thursday</v>
      </c>
      <c r="C92" s="12">
        <v>45365</v>
      </c>
      <c r="D92" s="4">
        <v>0.43720234953703702</v>
      </c>
      <c r="E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" t="s">
        <v>1</v>
      </c>
      <c r="G92" s="2">
        <v>38.700000000000003</v>
      </c>
    </row>
    <row r="93" spans="1:7" x14ac:dyDescent="0.25">
      <c r="A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240314-LUN001</v>
      </c>
      <c r="B93" s="1" t="str">
        <f>TEXT(Coffee_sales_clean[[#This Row],[Transaction Date]],"dddd")</f>
        <v>Thursday</v>
      </c>
      <c r="C93" s="12">
        <v>45365</v>
      </c>
      <c r="D93" s="4">
        <v>0.56075851851851855</v>
      </c>
      <c r="E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3" t="s">
        <v>5</v>
      </c>
      <c r="G93" s="2">
        <v>28.9</v>
      </c>
    </row>
    <row r="94" spans="1:7" x14ac:dyDescent="0.25">
      <c r="A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240314-LUN002</v>
      </c>
      <c r="B94" s="1" t="str">
        <f>TEXT(Coffee_sales_clean[[#This Row],[Transaction Date]],"dddd")</f>
        <v>Thursday</v>
      </c>
      <c r="C94" s="12">
        <v>45365</v>
      </c>
      <c r="D94" s="4">
        <v>0.56139498842592594</v>
      </c>
      <c r="E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4" t="s">
        <v>2</v>
      </c>
      <c r="G94" s="2">
        <v>28.9</v>
      </c>
    </row>
    <row r="95" spans="1:7" x14ac:dyDescent="0.25">
      <c r="A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240314-LUN003</v>
      </c>
      <c r="B95" s="1" t="str">
        <f>TEXT(Coffee_sales_clean[[#This Row],[Transaction Date]],"dddd")</f>
        <v>Thursday</v>
      </c>
      <c r="C95" s="12">
        <v>45365</v>
      </c>
      <c r="D95" s="4">
        <v>0.57777667824074075</v>
      </c>
      <c r="E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5" t="s">
        <v>3</v>
      </c>
      <c r="G95" s="2">
        <v>33.799999999999997</v>
      </c>
    </row>
    <row r="96" spans="1:7" x14ac:dyDescent="0.25">
      <c r="A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240314-LUN004</v>
      </c>
      <c r="B96" s="1" t="str">
        <f>TEXT(Coffee_sales_clean[[#This Row],[Transaction Date]],"dddd")</f>
        <v>Thursday</v>
      </c>
      <c r="C96" s="12">
        <v>45365</v>
      </c>
      <c r="D96" s="4">
        <v>0.57842879629629629</v>
      </c>
      <c r="E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6" t="s">
        <v>6</v>
      </c>
      <c r="G96" s="2">
        <v>24</v>
      </c>
    </row>
    <row r="97" spans="1:7" x14ac:dyDescent="0.25">
      <c r="A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240314-AFT001</v>
      </c>
      <c r="B97" s="1" t="str">
        <f>TEXT(Coffee_sales_clean[[#This Row],[Transaction Date]],"dddd")</f>
        <v>Thursday</v>
      </c>
      <c r="C97" s="12">
        <v>45365</v>
      </c>
      <c r="D97" s="4">
        <v>0.6393329513888889</v>
      </c>
      <c r="E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7" t="s">
        <v>0</v>
      </c>
      <c r="G97" s="2">
        <v>38.700000000000003</v>
      </c>
    </row>
    <row r="98" spans="1:7" x14ac:dyDescent="0.25">
      <c r="A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240314-AFT002</v>
      </c>
      <c r="B98" s="1" t="str">
        <f>TEXT(Coffee_sales_clean[[#This Row],[Transaction Date]],"dddd")</f>
        <v>Thursday</v>
      </c>
      <c r="C98" s="12">
        <v>45365</v>
      </c>
      <c r="D98" s="4">
        <v>0.66955446759259263</v>
      </c>
      <c r="E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8" t="s">
        <v>3</v>
      </c>
      <c r="G98" s="2">
        <v>33.799999999999997</v>
      </c>
    </row>
    <row r="99" spans="1:7" x14ac:dyDescent="0.25">
      <c r="A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240314-AFT003</v>
      </c>
      <c r="B99" s="1" t="str">
        <f>TEXT(Coffee_sales_clean[[#This Row],[Transaction Date]],"dddd")</f>
        <v>Thursday</v>
      </c>
      <c r="C99" s="12">
        <v>45365</v>
      </c>
      <c r="D99" s="4">
        <v>0.70460881944444442</v>
      </c>
      <c r="E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9" t="s">
        <v>6</v>
      </c>
      <c r="G99" s="2">
        <v>24</v>
      </c>
    </row>
    <row r="100" spans="1:7" x14ac:dyDescent="0.25">
      <c r="A1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240314-EVE001</v>
      </c>
      <c r="B100" s="1" t="str">
        <f>TEXT(Coffee_sales_clean[[#This Row],[Transaction Date]],"dddd")</f>
        <v>Thursday</v>
      </c>
      <c r="C100" s="12">
        <v>45365</v>
      </c>
      <c r="D100" s="4">
        <v>0.79092423611111107</v>
      </c>
      <c r="E1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0" t="s">
        <v>1</v>
      </c>
      <c r="G100" s="2">
        <v>38.700000000000003</v>
      </c>
    </row>
    <row r="101" spans="1:7" x14ac:dyDescent="0.25">
      <c r="A1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240314-EVE002</v>
      </c>
      <c r="B101" s="1" t="str">
        <f>TEXT(Coffee_sales_clean[[#This Row],[Transaction Date]],"dddd")</f>
        <v>Thursday</v>
      </c>
      <c r="C101" s="12">
        <v>45365</v>
      </c>
      <c r="D101" s="4">
        <v>0.79176693287037037</v>
      </c>
      <c r="E1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1" t="s">
        <v>5</v>
      </c>
      <c r="G101" s="2">
        <v>28.9</v>
      </c>
    </row>
    <row r="102" spans="1:7" x14ac:dyDescent="0.25">
      <c r="A1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240315-MOR001</v>
      </c>
      <c r="B102" s="1" t="str">
        <f>TEXT(Coffee_sales_clean[[#This Row],[Transaction Date]],"dddd")</f>
        <v>Friday</v>
      </c>
      <c r="C102" s="12">
        <v>45366</v>
      </c>
      <c r="D102" s="4">
        <v>0.4534974537037037</v>
      </c>
      <c r="E1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2" t="s">
        <v>1</v>
      </c>
      <c r="G102" s="2">
        <v>38.700000000000003</v>
      </c>
    </row>
    <row r="103" spans="1:7" x14ac:dyDescent="0.25">
      <c r="A1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240315-EVE001</v>
      </c>
      <c r="B103" s="1" t="str">
        <f>TEXT(Coffee_sales_clean[[#This Row],[Transaction Date]],"dddd")</f>
        <v>Friday</v>
      </c>
      <c r="C103" s="12">
        <v>45366</v>
      </c>
      <c r="D103" s="4">
        <v>0.76351761574074073</v>
      </c>
      <c r="E1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3" t="s">
        <v>2</v>
      </c>
      <c r="G103" s="2">
        <v>28.9</v>
      </c>
    </row>
    <row r="104" spans="1:7" x14ac:dyDescent="0.25">
      <c r="A1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240316-LUN001</v>
      </c>
      <c r="B104" s="1" t="str">
        <f>TEXT(Coffee_sales_clean[[#This Row],[Transaction Date]],"dddd")</f>
        <v>Saturday</v>
      </c>
      <c r="C104" s="12">
        <v>45367</v>
      </c>
      <c r="D104" s="4">
        <v>0.50480565972222224</v>
      </c>
      <c r="E1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4" t="s">
        <v>3</v>
      </c>
      <c r="G104" s="2">
        <v>33.799999999999997</v>
      </c>
    </row>
    <row r="105" spans="1:7" x14ac:dyDescent="0.25">
      <c r="A1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240316-LUN002</v>
      </c>
      <c r="B105" s="1" t="str">
        <f>TEXT(Coffee_sales_clean[[#This Row],[Transaction Date]],"dddd")</f>
        <v>Saturday</v>
      </c>
      <c r="C105" s="12">
        <v>45367</v>
      </c>
      <c r="D105" s="4">
        <v>0.50548512731481476</v>
      </c>
      <c r="E1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5" t="s">
        <v>2</v>
      </c>
      <c r="G105" s="2">
        <v>28.9</v>
      </c>
    </row>
    <row r="106" spans="1:7" x14ac:dyDescent="0.25">
      <c r="A1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240316-AFT001</v>
      </c>
      <c r="B106" s="1" t="str">
        <f>TEXT(Coffee_sales_clean[[#This Row],[Transaction Date]],"dddd")</f>
        <v>Saturday</v>
      </c>
      <c r="C106" s="12">
        <v>45367</v>
      </c>
      <c r="D106" s="4">
        <v>0.66549141203703699</v>
      </c>
      <c r="E1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6" t="s">
        <v>5</v>
      </c>
      <c r="G106" s="2">
        <v>28.9</v>
      </c>
    </row>
    <row r="107" spans="1:7" x14ac:dyDescent="0.25">
      <c r="A1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240316-AFT002</v>
      </c>
      <c r="B107" s="1" t="str">
        <f>TEXT(Coffee_sales_clean[[#This Row],[Transaction Date]],"dddd")</f>
        <v>Saturday</v>
      </c>
      <c r="C107" s="12">
        <v>45367</v>
      </c>
      <c r="D107" s="4">
        <v>0.66900159722222219</v>
      </c>
      <c r="E1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7" t="s">
        <v>5</v>
      </c>
      <c r="G107" s="2">
        <v>28.9</v>
      </c>
    </row>
    <row r="108" spans="1:7" x14ac:dyDescent="0.25">
      <c r="A1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240316-AFT003</v>
      </c>
      <c r="B108" s="1" t="str">
        <f>TEXT(Coffee_sales_clean[[#This Row],[Transaction Date]],"dddd")</f>
        <v>Saturday</v>
      </c>
      <c r="C108" s="12">
        <v>45367</v>
      </c>
      <c r="D108" s="4">
        <v>0.66957689814814814</v>
      </c>
      <c r="E1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8" t="s">
        <v>5</v>
      </c>
      <c r="G108" s="2">
        <v>28.9</v>
      </c>
    </row>
    <row r="109" spans="1:7" x14ac:dyDescent="0.25">
      <c r="A1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240316-EVE001</v>
      </c>
      <c r="B109" s="1" t="str">
        <f>TEXT(Coffee_sales_clean[[#This Row],[Transaction Date]],"dddd")</f>
        <v>Saturday</v>
      </c>
      <c r="C109" s="12">
        <v>45367</v>
      </c>
      <c r="D109" s="4">
        <v>0.74869491898148144</v>
      </c>
      <c r="E1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9" t="s">
        <v>3</v>
      </c>
      <c r="G109" s="2">
        <v>33.799999999999997</v>
      </c>
    </row>
    <row r="110" spans="1:7" x14ac:dyDescent="0.25">
      <c r="A1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240317-LUN001</v>
      </c>
      <c r="B110" s="1" t="str">
        <f>TEXT(Coffee_sales_clean[[#This Row],[Transaction Date]],"dddd")</f>
        <v>Sunday</v>
      </c>
      <c r="C110" s="12">
        <v>45368</v>
      </c>
      <c r="D110" s="4">
        <v>0.53849612268518521</v>
      </c>
      <c r="E1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0" t="s">
        <v>5</v>
      </c>
      <c r="G110" s="2">
        <v>28.9</v>
      </c>
    </row>
    <row r="111" spans="1:7" x14ac:dyDescent="0.25">
      <c r="A1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240318-LUN001</v>
      </c>
      <c r="B111" s="1" t="str">
        <f>TEXT(Coffee_sales_clean[[#This Row],[Transaction Date]],"dddd")</f>
        <v>Monday</v>
      </c>
      <c r="C111" s="12">
        <v>45369</v>
      </c>
      <c r="D111" s="4">
        <v>0.47082952546296297</v>
      </c>
      <c r="E1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1" t="s">
        <v>5</v>
      </c>
      <c r="G111" s="2">
        <v>28.9</v>
      </c>
    </row>
    <row r="112" spans="1:7" x14ac:dyDescent="0.25">
      <c r="A1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240318-AFT001</v>
      </c>
      <c r="B112" s="1" t="str">
        <f>TEXT(Coffee_sales_clean[[#This Row],[Transaction Date]],"dddd")</f>
        <v>Monday</v>
      </c>
      <c r="C112" s="12">
        <v>45369</v>
      </c>
      <c r="D112" s="4">
        <v>0.64698755787037032</v>
      </c>
      <c r="E1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2" t="s">
        <v>2</v>
      </c>
      <c r="G112" s="2">
        <v>28.9</v>
      </c>
    </row>
    <row r="113" spans="1:7" x14ac:dyDescent="0.25">
      <c r="A1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240318-AFT002</v>
      </c>
      <c r="B113" s="1" t="str">
        <f>TEXT(Coffee_sales_clean[[#This Row],[Transaction Date]],"dddd")</f>
        <v>Monday</v>
      </c>
      <c r="C113" s="12">
        <v>45369</v>
      </c>
      <c r="D113" s="4">
        <v>0.64766480324074072</v>
      </c>
      <c r="E1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3" t="s">
        <v>2</v>
      </c>
      <c r="G113" s="2">
        <v>28.9</v>
      </c>
    </row>
    <row r="114" spans="1:7" x14ac:dyDescent="0.25">
      <c r="A1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240318-AFT003</v>
      </c>
      <c r="B114" s="1" t="str">
        <f>TEXT(Coffee_sales_clean[[#This Row],[Transaction Date]],"dddd")</f>
        <v>Monday</v>
      </c>
      <c r="C114" s="12">
        <v>45369</v>
      </c>
      <c r="D114" s="4">
        <v>0.64834152777777776</v>
      </c>
      <c r="E1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4" t="s">
        <v>2</v>
      </c>
      <c r="G114" s="2">
        <v>28.9</v>
      </c>
    </row>
    <row r="115" spans="1:7" x14ac:dyDescent="0.25">
      <c r="A1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240319-AFT001</v>
      </c>
      <c r="B115" s="1" t="str">
        <f>TEXT(Coffee_sales_clean[[#This Row],[Transaction Date]],"dddd")</f>
        <v>Tuesday</v>
      </c>
      <c r="C115" s="12">
        <v>45370</v>
      </c>
      <c r="D115" s="4">
        <v>0.58497148148148148</v>
      </c>
      <c r="E1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5" t="s">
        <v>0</v>
      </c>
      <c r="G115" s="2">
        <v>38.700000000000003</v>
      </c>
    </row>
    <row r="116" spans="1:7" x14ac:dyDescent="0.25">
      <c r="A1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240319-AFT002</v>
      </c>
      <c r="B116" s="1" t="str">
        <f>TEXT(Coffee_sales_clean[[#This Row],[Transaction Date]],"dddd")</f>
        <v>Tuesday</v>
      </c>
      <c r="C116" s="12">
        <v>45370</v>
      </c>
      <c r="D116" s="4">
        <v>0.58564542824074073</v>
      </c>
      <c r="E1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6" t="s">
        <v>0</v>
      </c>
      <c r="G116" s="2">
        <v>38.700000000000003</v>
      </c>
    </row>
    <row r="117" spans="1:7" x14ac:dyDescent="0.25">
      <c r="A1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240319-AFT003</v>
      </c>
      <c r="B117" s="1" t="str">
        <f>TEXT(Coffee_sales_clean[[#This Row],[Transaction Date]],"dddd")</f>
        <v>Tuesday</v>
      </c>
      <c r="C117" s="12">
        <v>45370</v>
      </c>
      <c r="D117" s="4">
        <v>0.62819802083333331</v>
      </c>
      <c r="E1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7" t="s">
        <v>1</v>
      </c>
      <c r="G117" s="2">
        <v>38.700000000000003</v>
      </c>
    </row>
    <row r="118" spans="1:7" x14ac:dyDescent="0.25">
      <c r="A1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240319-AFT004</v>
      </c>
      <c r="B118" s="1" t="str">
        <f>TEXT(Coffee_sales_clean[[#This Row],[Transaction Date]],"dddd")</f>
        <v>Tuesday</v>
      </c>
      <c r="C118" s="12">
        <v>45370</v>
      </c>
      <c r="D118" s="4">
        <v>0.70403594907407407</v>
      </c>
      <c r="E1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8" t="s">
        <v>3</v>
      </c>
      <c r="G118" s="2">
        <v>33.799999999999997</v>
      </c>
    </row>
    <row r="119" spans="1:7" x14ac:dyDescent="0.25">
      <c r="A1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240320-LUN001</v>
      </c>
      <c r="B119" s="1" t="str">
        <f>TEXT(Coffee_sales_clean[[#This Row],[Transaction Date]],"dddd")</f>
        <v>Wednesday</v>
      </c>
      <c r="C119" s="12">
        <v>45371</v>
      </c>
      <c r="D119" s="4">
        <v>0.48699540509259259</v>
      </c>
      <c r="E1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9" t="s">
        <v>5</v>
      </c>
      <c r="G119" s="2">
        <v>28.9</v>
      </c>
    </row>
    <row r="120" spans="1:7" x14ac:dyDescent="0.25">
      <c r="A1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240320-LUN002</v>
      </c>
      <c r="B120" s="1" t="str">
        <f>TEXT(Coffee_sales_clean[[#This Row],[Transaction Date]],"dddd")</f>
        <v>Wednesday</v>
      </c>
      <c r="C120" s="12">
        <v>45371</v>
      </c>
      <c r="D120" s="4">
        <v>0.52140009259259257</v>
      </c>
      <c r="E1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0" t="s">
        <v>5</v>
      </c>
      <c r="G120" s="2">
        <v>28.9</v>
      </c>
    </row>
    <row r="121" spans="1:7" x14ac:dyDescent="0.25">
      <c r="A1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240320-LUN003</v>
      </c>
      <c r="B121" s="1" t="str">
        <f>TEXT(Coffee_sales_clean[[#This Row],[Transaction Date]],"dddd")</f>
        <v>Wednesday</v>
      </c>
      <c r="C121" s="12">
        <v>45371</v>
      </c>
      <c r="D121" s="4">
        <v>0.55332631944444444</v>
      </c>
      <c r="E1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1" t="s">
        <v>7</v>
      </c>
      <c r="G121" s="2">
        <v>38.700000000000003</v>
      </c>
    </row>
    <row r="122" spans="1:7" x14ac:dyDescent="0.25">
      <c r="A1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240320-AFT001</v>
      </c>
      <c r="B122" s="1" t="str">
        <f>TEXT(Coffee_sales_clean[[#This Row],[Transaction Date]],"dddd")</f>
        <v>Wednesday</v>
      </c>
      <c r="C122" s="12">
        <v>45371</v>
      </c>
      <c r="D122" s="4">
        <v>0.6962745023148148</v>
      </c>
      <c r="E1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2" t="s">
        <v>4</v>
      </c>
      <c r="G122" s="2">
        <v>38.700000000000003</v>
      </c>
    </row>
    <row r="123" spans="1:7" x14ac:dyDescent="0.25">
      <c r="A1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240320-EVE001</v>
      </c>
      <c r="B123" s="1" t="str">
        <f>TEXT(Coffee_sales_clean[[#This Row],[Transaction Date]],"dddd")</f>
        <v>Wednesday</v>
      </c>
      <c r="C123" s="12">
        <v>45371</v>
      </c>
      <c r="D123" s="4">
        <v>0.74338866898148148</v>
      </c>
      <c r="E1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3" t="s">
        <v>0</v>
      </c>
      <c r="G123" s="2">
        <v>38.700000000000003</v>
      </c>
    </row>
    <row r="124" spans="1:7" x14ac:dyDescent="0.25">
      <c r="A1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240321-LUN001</v>
      </c>
      <c r="B124" s="1" t="str">
        <f>TEXT(Coffee_sales_clean[[#This Row],[Transaction Date]],"dddd")</f>
        <v>Thursday</v>
      </c>
      <c r="C124" s="12">
        <v>45372</v>
      </c>
      <c r="D124" s="4">
        <v>0.51746752314814815</v>
      </c>
      <c r="E1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4" t="s">
        <v>5</v>
      </c>
      <c r="G124" s="2">
        <v>28.9</v>
      </c>
    </row>
    <row r="125" spans="1:7" x14ac:dyDescent="0.25">
      <c r="A1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240321-LUN002</v>
      </c>
      <c r="B125" s="1" t="str">
        <f>TEXT(Coffee_sales_clean[[#This Row],[Transaction Date]],"dddd")</f>
        <v>Thursday</v>
      </c>
      <c r="C125" s="12">
        <v>45372</v>
      </c>
      <c r="D125" s="4">
        <v>0.5182572685185185</v>
      </c>
      <c r="E1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5" t="s">
        <v>7</v>
      </c>
      <c r="G125" s="2">
        <v>38.700000000000003</v>
      </c>
    </row>
    <row r="126" spans="1:7" x14ac:dyDescent="0.25">
      <c r="A1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240321-EVE001</v>
      </c>
      <c r="B126" s="1" t="str">
        <f>TEXT(Coffee_sales_clean[[#This Row],[Transaction Date]],"dddd")</f>
        <v>Thursday</v>
      </c>
      <c r="C126" s="12">
        <v>45372</v>
      </c>
      <c r="D126" s="4">
        <v>0.72362677083333338</v>
      </c>
      <c r="E1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6" t="s">
        <v>5</v>
      </c>
      <c r="G126" s="2">
        <v>28.9</v>
      </c>
    </row>
    <row r="127" spans="1:7" x14ac:dyDescent="0.25">
      <c r="A1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240321-EVE002</v>
      </c>
      <c r="B127" s="1" t="str">
        <f>TEXT(Coffee_sales_clean[[#This Row],[Transaction Date]],"dddd")</f>
        <v>Thursday</v>
      </c>
      <c r="C127" s="12">
        <v>45372</v>
      </c>
      <c r="D127" s="4">
        <v>0.80597810185185181</v>
      </c>
      <c r="E1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7" t="s">
        <v>0</v>
      </c>
      <c r="G127" s="2">
        <v>38.700000000000003</v>
      </c>
    </row>
    <row r="128" spans="1:7" x14ac:dyDescent="0.25">
      <c r="A1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240322-MOR001</v>
      </c>
      <c r="B128" s="1" t="str">
        <f>TEXT(Coffee_sales_clean[[#This Row],[Transaction Date]],"dddd")</f>
        <v>Friday</v>
      </c>
      <c r="C128" s="12">
        <v>45373</v>
      </c>
      <c r="D128" s="4">
        <v>0.44159281249999999</v>
      </c>
      <c r="E1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" t="s">
        <v>3</v>
      </c>
      <c r="G128" s="2">
        <v>33.799999999999997</v>
      </c>
    </row>
    <row r="129" spans="1:7" x14ac:dyDescent="0.25">
      <c r="A1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240322-LUN001</v>
      </c>
      <c r="B129" s="1" t="str">
        <f>TEXT(Coffee_sales_clean[[#This Row],[Transaction Date]],"dddd")</f>
        <v>Friday</v>
      </c>
      <c r="C129" s="12">
        <v>45373</v>
      </c>
      <c r="D129" s="4">
        <v>0.56204100694444448</v>
      </c>
      <c r="E1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9" t="s">
        <v>3</v>
      </c>
      <c r="G129" s="2">
        <v>33.799999999999997</v>
      </c>
    </row>
    <row r="130" spans="1:7" x14ac:dyDescent="0.25">
      <c r="A1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240322-EVE001</v>
      </c>
      <c r="B130" s="1" t="str">
        <f>TEXT(Coffee_sales_clean[[#This Row],[Transaction Date]],"dddd")</f>
        <v>Friday</v>
      </c>
      <c r="C130" s="12">
        <v>45373</v>
      </c>
      <c r="D130" s="4">
        <v>0.72018199074074074</v>
      </c>
      <c r="E1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0" t="s">
        <v>2</v>
      </c>
      <c r="G130" s="2">
        <v>28.9</v>
      </c>
    </row>
    <row r="131" spans="1:7" x14ac:dyDescent="0.25">
      <c r="A1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240322-EVE002</v>
      </c>
      <c r="B131" s="1" t="str">
        <f>TEXT(Coffee_sales_clean[[#This Row],[Transaction Date]],"dddd")</f>
        <v>Friday</v>
      </c>
      <c r="C131" s="12">
        <v>45373</v>
      </c>
      <c r="D131" s="4">
        <v>0.72082165509259255</v>
      </c>
      <c r="E1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1" t="s">
        <v>6</v>
      </c>
      <c r="G131" s="2">
        <v>24</v>
      </c>
    </row>
    <row r="132" spans="1:7" x14ac:dyDescent="0.25">
      <c r="A1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240322-EVE003</v>
      </c>
      <c r="B132" s="1" t="str">
        <f>TEXT(Coffee_sales_clean[[#This Row],[Transaction Date]],"dddd")</f>
        <v>Friday</v>
      </c>
      <c r="C132" s="12">
        <v>45373</v>
      </c>
      <c r="D132" s="4">
        <v>0.72279502314814814</v>
      </c>
      <c r="E1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2" t="s">
        <v>2</v>
      </c>
      <c r="G132" s="2">
        <v>28.9</v>
      </c>
    </row>
    <row r="133" spans="1:7" x14ac:dyDescent="0.25">
      <c r="A1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240323-MOR001</v>
      </c>
      <c r="B133" s="1" t="str">
        <f>TEXT(Coffee_sales_clean[[#This Row],[Transaction Date]],"dddd")</f>
        <v>Saturday</v>
      </c>
      <c r="C133" s="12">
        <v>45374</v>
      </c>
      <c r="D133" s="4">
        <v>0.44721711805555553</v>
      </c>
      <c r="E1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3" t="s">
        <v>0</v>
      </c>
      <c r="G133" s="2">
        <v>38.700000000000003</v>
      </c>
    </row>
    <row r="134" spans="1:7" x14ac:dyDescent="0.25">
      <c r="A1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240323-MOR002</v>
      </c>
      <c r="B134" s="1" t="str">
        <f>TEXT(Coffee_sales_clean[[#This Row],[Transaction Date]],"dddd")</f>
        <v>Saturday</v>
      </c>
      <c r="C134" s="12">
        <v>45374</v>
      </c>
      <c r="D134" s="4">
        <v>0.44799950231481483</v>
      </c>
      <c r="E1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4" t="s">
        <v>3</v>
      </c>
      <c r="G134" s="2">
        <v>33.799999999999997</v>
      </c>
    </row>
    <row r="135" spans="1:7" x14ac:dyDescent="0.25">
      <c r="A1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240323-LUN001</v>
      </c>
      <c r="B135" s="1" t="str">
        <f>TEXT(Coffee_sales_clean[[#This Row],[Transaction Date]],"dddd")</f>
        <v>Saturday</v>
      </c>
      <c r="C135" s="12">
        <v>45374</v>
      </c>
      <c r="D135" s="4">
        <v>0.54869978009259257</v>
      </c>
      <c r="E1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5" t="s">
        <v>7</v>
      </c>
      <c r="G135" s="2">
        <v>38.700000000000003</v>
      </c>
    </row>
    <row r="136" spans="1:7" x14ac:dyDescent="0.25">
      <c r="A1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240323-LUN002</v>
      </c>
      <c r="B136" s="1" t="str">
        <f>TEXT(Coffee_sales_clean[[#This Row],[Transaction Date]],"dddd")</f>
        <v>Saturday</v>
      </c>
      <c r="C136" s="12">
        <v>45374</v>
      </c>
      <c r="D136" s="4">
        <v>0.54944710648148143</v>
      </c>
      <c r="E1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6" t="s">
        <v>4</v>
      </c>
      <c r="G136" s="2">
        <v>38.700000000000003</v>
      </c>
    </row>
    <row r="137" spans="1:7" x14ac:dyDescent="0.25">
      <c r="A1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240323-AFT001</v>
      </c>
      <c r="B137" s="1" t="str">
        <f>TEXT(Coffee_sales_clean[[#This Row],[Transaction Date]],"dddd")</f>
        <v>Saturday</v>
      </c>
      <c r="C137" s="12">
        <v>45374</v>
      </c>
      <c r="D137" s="4">
        <v>0.61436662037037038</v>
      </c>
      <c r="E1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7" t="s">
        <v>3</v>
      </c>
      <c r="G137" s="2">
        <v>33.799999999999997</v>
      </c>
    </row>
    <row r="138" spans="1:7" x14ac:dyDescent="0.25">
      <c r="A1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240323-AFT002</v>
      </c>
      <c r="B138" s="1" t="str">
        <f>TEXT(Coffee_sales_clean[[#This Row],[Transaction Date]],"dddd")</f>
        <v>Saturday</v>
      </c>
      <c r="C138" s="12">
        <v>45374</v>
      </c>
      <c r="D138" s="4">
        <v>0.65785951388888886</v>
      </c>
      <c r="E1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8" t="s">
        <v>0</v>
      </c>
      <c r="G138" s="2">
        <v>38.700000000000003</v>
      </c>
    </row>
    <row r="139" spans="1:7" x14ac:dyDescent="0.25">
      <c r="A1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240323-AFT003</v>
      </c>
      <c r="B139" s="1" t="str">
        <f>TEXT(Coffee_sales_clean[[#This Row],[Transaction Date]],"dddd")</f>
        <v>Saturday</v>
      </c>
      <c r="C139" s="12">
        <v>45374</v>
      </c>
      <c r="D139" s="4">
        <v>0.65941913194444446</v>
      </c>
      <c r="E1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9" t="s">
        <v>3</v>
      </c>
      <c r="G139" s="2">
        <v>33.799999999999997</v>
      </c>
    </row>
    <row r="140" spans="1:7" x14ac:dyDescent="0.25">
      <c r="A1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240323-AFT004</v>
      </c>
      <c r="B140" s="1" t="str">
        <f>TEXT(Coffee_sales_clean[[#This Row],[Transaction Date]],"dddd")</f>
        <v>Saturday</v>
      </c>
      <c r="C140" s="12">
        <v>45374</v>
      </c>
      <c r="D140" s="4">
        <v>0.66734243055555553</v>
      </c>
      <c r="E1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0" t="s">
        <v>5</v>
      </c>
      <c r="G140" s="2">
        <v>28.9</v>
      </c>
    </row>
    <row r="141" spans="1:7" x14ac:dyDescent="0.25">
      <c r="A1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240324-EVE001</v>
      </c>
      <c r="B141" s="1" t="str">
        <f>TEXT(Coffee_sales_clean[[#This Row],[Transaction Date]],"dddd")</f>
        <v>Sunday</v>
      </c>
      <c r="C141" s="12">
        <v>45375</v>
      </c>
      <c r="D141" s="4">
        <v>0.78134718749999998</v>
      </c>
      <c r="E1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1" t="s">
        <v>0</v>
      </c>
      <c r="G141" s="2">
        <v>38.700000000000003</v>
      </c>
    </row>
    <row r="142" spans="1:7" x14ac:dyDescent="0.25">
      <c r="A1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240325-MOR001</v>
      </c>
      <c r="B142" s="1" t="str">
        <f>TEXT(Coffee_sales_clean[[#This Row],[Transaction Date]],"dddd")</f>
        <v>Monday</v>
      </c>
      <c r="C142" s="12">
        <v>45376</v>
      </c>
      <c r="D142" s="4">
        <v>0.43874131944444444</v>
      </c>
      <c r="E1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2" t="s">
        <v>0</v>
      </c>
      <c r="G142" s="2">
        <v>38.700000000000003</v>
      </c>
    </row>
    <row r="143" spans="1:7" x14ac:dyDescent="0.25">
      <c r="A1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240325-AFT001</v>
      </c>
      <c r="B143" s="1" t="str">
        <f>TEXT(Coffee_sales_clean[[#This Row],[Transaction Date]],"dddd")</f>
        <v>Monday</v>
      </c>
      <c r="C143" s="12">
        <v>45376</v>
      </c>
      <c r="D143" s="4">
        <v>0.60218938657407406</v>
      </c>
      <c r="E1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3" t="s">
        <v>0</v>
      </c>
      <c r="G143" s="2">
        <v>38.700000000000003</v>
      </c>
    </row>
    <row r="144" spans="1:7" x14ac:dyDescent="0.25">
      <c r="A1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240325-AFT002</v>
      </c>
      <c r="B144" s="1" t="str">
        <f>TEXT(Coffee_sales_clean[[#This Row],[Transaction Date]],"dddd")</f>
        <v>Monday</v>
      </c>
      <c r="C144" s="12">
        <v>45376</v>
      </c>
      <c r="D144" s="4">
        <v>0.60376554398148152</v>
      </c>
      <c r="E1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4" t="s">
        <v>0</v>
      </c>
      <c r="G144" s="2">
        <v>38.700000000000003</v>
      </c>
    </row>
    <row r="145" spans="1:7" x14ac:dyDescent="0.25">
      <c r="A1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240325-EVE001</v>
      </c>
      <c r="B145" s="1" t="str">
        <f>TEXT(Coffee_sales_clean[[#This Row],[Transaction Date]],"dddd")</f>
        <v>Monday</v>
      </c>
      <c r="C145" s="12">
        <v>45376</v>
      </c>
      <c r="D145" s="4">
        <v>0.77604918981481485</v>
      </c>
      <c r="E1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5" t="s">
        <v>3</v>
      </c>
      <c r="G145" s="2">
        <v>33.799999999999997</v>
      </c>
    </row>
    <row r="146" spans="1:7" x14ac:dyDescent="0.25">
      <c r="A1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240325-EVE002</v>
      </c>
      <c r="B146" s="1" t="str">
        <f>TEXT(Coffee_sales_clean[[#This Row],[Transaction Date]],"dddd")</f>
        <v>Monday</v>
      </c>
      <c r="C146" s="12">
        <v>45376</v>
      </c>
      <c r="D146" s="4">
        <v>0.81556182870370375</v>
      </c>
      <c r="E1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6" t="s">
        <v>7</v>
      </c>
      <c r="G146" s="2">
        <v>38.700000000000003</v>
      </c>
    </row>
    <row r="147" spans="1:7" x14ac:dyDescent="0.25">
      <c r="A1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240326-MOR001</v>
      </c>
      <c r="B147" s="1" t="str">
        <f>TEXT(Coffee_sales_clean[[#This Row],[Transaction Date]],"dddd")</f>
        <v>Tuesday</v>
      </c>
      <c r="C147" s="12">
        <v>45377</v>
      </c>
      <c r="D147" s="4">
        <v>0.44154721064814817</v>
      </c>
      <c r="E1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7" t="s">
        <v>4</v>
      </c>
      <c r="G147" s="2">
        <v>38.700000000000003</v>
      </c>
    </row>
    <row r="148" spans="1:7" x14ac:dyDescent="0.25">
      <c r="A1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240326-MOR002</v>
      </c>
      <c r="B148" s="1" t="str">
        <f>TEXT(Coffee_sales_clean[[#This Row],[Transaction Date]],"dddd")</f>
        <v>Tuesday</v>
      </c>
      <c r="C148" s="12">
        <v>45377</v>
      </c>
      <c r="D148" s="4">
        <v>0.44208508101851851</v>
      </c>
      <c r="E1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8" t="s">
        <v>0</v>
      </c>
      <c r="G148" s="2">
        <v>38.700000000000003</v>
      </c>
    </row>
    <row r="149" spans="1:7" x14ac:dyDescent="0.25">
      <c r="A1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240326-MOR003</v>
      </c>
      <c r="B149" s="1" t="str">
        <f>TEXT(Coffee_sales_clean[[#This Row],[Transaction Date]],"dddd")</f>
        <v>Tuesday</v>
      </c>
      <c r="C149" s="12">
        <v>45377</v>
      </c>
      <c r="D149" s="4">
        <v>0.44618252314814816</v>
      </c>
      <c r="E1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9" t="s">
        <v>0</v>
      </c>
      <c r="G149" s="2">
        <v>38.700000000000003</v>
      </c>
    </row>
    <row r="150" spans="1:7" x14ac:dyDescent="0.25">
      <c r="A1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240326-LUN001</v>
      </c>
      <c r="B150" s="1" t="str">
        <f>TEXT(Coffee_sales_clean[[#This Row],[Transaction Date]],"dddd")</f>
        <v>Tuesday</v>
      </c>
      <c r="C150" s="12">
        <v>45377</v>
      </c>
      <c r="D150" s="4">
        <v>0.4665200810185185</v>
      </c>
      <c r="E1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0" t="s">
        <v>5</v>
      </c>
      <c r="G150" s="2">
        <v>28.9</v>
      </c>
    </row>
    <row r="151" spans="1:7" x14ac:dyDescent="0.25">
      <c r="A1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240326-LUN002</v>
      </c>
      <c r="B151" s="1" t="str">
        <f>TEXT(Coffee_sales_clean[[#This Row],[Transaction Date]],"dddd")</f>
        <v>Tuesday</v>
      </c>
      <c r="C151" s="12">
        <v>45377</v>
      </c>
      <c r="D151" s="4">
        <v>0.56658302083333334</v>
      </c>
      <c r="E1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1" t="s">
        <v>2</v>
      </c>
      <c r="G151" s="2">
        <v>28.9</v>
      </c>
    </row>
    <row r="152" spans="1:7" x14ac:dyDescent="0.25">
      <c r="A1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240326-LUN003</v>
      </c>
      <c r="B152" s="1" t="str">
        <f>TEXT(Coffee_sales_clean[[#This Row],[Transaction Date]],"dddd")</f>
        <v>Tuesday</v>
      </c>
      <c r="C152" s="12">
        <v>45377</v>
      </c>
      <c r="D152" s="4">
        <v>0.56724125000000003</v>
      </c>
      <c r="E1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2" t="s">
        <v>5</v>
      </c>
      <c r="G152" s="2">
        <v>28.9</v>
      </c>
    </row>
    <row r="153" spans="1:7" x14ac:dyDescent="0.25">
      <c r="A1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240326-LUN004</v>
      </c>
      <c r="B153" s="1" t="str">
        <f>TEXT(Coffee_sales_clean[[#This Row],[Transaction Date]],"dddd")</f>
        <v>Tuesday</v>
      </c>
      <c r="C153" s="12">
        <v>45377</v>
      </c>
      <c r="D153" s="4">
        <v>0.56805234953703698</v>
      </c>
      <c r="E1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3" t="s">
        <v>5</v>
      </c>
      <c r="G153" s="2">
        <v>28.9</v>
      </c>
    </row>
    <row r="154" spans="1:7" x14ac:dyDescent="0.25">
      <c r="A1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240326-LUN005</v>
      </c>
      <c r="B154" s="1" t="str">
        <f>TEXT(Coffee_sales_clean[[#This Row],[Transaction Date]],"dddd")</f>
        <v>Tuesday</v>
      </c>
      <c r="C154" s="12">
        <v>45377</v>
      </c>
      <c r="D154" s="4">
        <v>0.58187126157407409</v>
      </c>
      <c r="E1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4" t="s">
        <v>2</v>
      </c>
      <c r="G154" s="2">
        <v>28.9</v>
      </c>
    </row>
    <row r="155" spans="1:7" x14ac:dyDescent="0.25">
      <c r="A1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240326-AFT001</v>
      </c>
      <c r="B155" s="1" t="str">
        <f>TEXT(Coffee_sales_clean[[#This Row],[Transaction Date]],"dddd")</f>
        <v>Tuesday</v>
      </c>
      <c r="C155" s="12">
        <v>45377</v>
      </c>
      <c r="D155" s="4">
        <v>0.65835960648148151</v>
      </c>
      <c r="E1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5" t="s">
        <v>0</v>
      </c>
      <c r="G155" s="2">
        <v>38.700000000000003</v>
      </c>
    </row>
    <row r="156" spans="1:7" x14ac:dyDescent="0.25">
      <c r="A1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240326-EVE001</v>
      </c>
      <c r="B156" s="1" t="str">
        <f>TEXT(Coffee_sales_clean[[#This Row],[Transaction Date]],"dddd")</f>
        <v>Tuesday</v>
      </c>
      <c r="C156" s="12">
        <v>45377</v>
      </c>
      <c r="D156" s="4">
        <v>0.77336305555555551</v>
      </c>
      <c r="E1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6" t="s">
        <v>0</v>
      </c>
      <c r="G156" s="2">
        <v>38.700000000000003</v>
      </c>
    </row>
    <row r="157" spans="1:7" x14ac:dyDescent="0.25">
      <c r="A1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240326-EVE002</v>
      </c>
      <c r="B157" s="1" t="str">
        <f>TEXT(Coffee_sales_clean[[#This Row],[Transaction Date]],"dddd")</f>
        <v>Tuesday</v>
      </c>
      <c r="C157" s="12">
        <v>45377</v>
      </c>
      <c r="D157" s="4">
        <v>0.77424361111111106</v>
      </c>
      <c r="E1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7" t="s">
        <v>1</v>
      </c>
      <c r="G157" s="2">
        <v>38.700000000000003</v>
      </c>
    </row>
    <row r="158" spans="1:7" x14ac:dyDescent="0.25">
      <c r="A1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240327-LUN001</v>
      </c>
      <c r="B158" s="1" t="str">
        <f>TEXT(Coffee_sales_clean[[#This Row],[Transaction Date]],"dddd")</f>
        <v>Wednesday</v>
      </c>
      <c r="C158" s="12">
        <v>45378</v>
      </c>
      <c r="D158" s="4">
        <v>0.46170340277777777</v>
      </c>
      <c r="E1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8" t="s">
        <v>5</v>
      </c>
      <c r="G158" s="2">
        <v>28.9</v>
      </c>
    </row>
    <row r="159" spans="1:7" x14ac:dyDescent="0.25">
      <c r="A1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240327-LUN002</v>
      </c>
      <c r="B159" s="1" t="str">
        <f>TEXT(Coffee_sales_clean[[#This Row],[Transaction Date]],"dddd")</f>
        <v>Wednesday</v>
      </c>
      <c r="C159" s="12">
        <v>45378</v>
      </c>
      <c r="D159" s="4">
        <v>0.46247958333333333</v>
      </c>
      <c r="E1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9" t="s">
        <v>3</v>
      </c>
      <c r="G159" s="2">
        <v>33.799999999999997</v>
      </c>
    </row>
    <row r="160" spans="1:7" x14ac:dyDescent="0.25">
      <c r="A1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240327-LUN003</v>
      </c>
      <c r="B160" s="1" t="str">
        <f>TEXT(Coffee_sales_clean[[#This Row],[Transaction Date]],"dddd")</f>
        <v>Wednesday</v>
      </c>
      <c r="C160" s="12">
        <v>45378</v>
      </c>
      <c r="D160" s="4">
        <v>0.53958868055555553</v>
      </c>
      <c r="E1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0" t="s">
        <v>3</v>
      </c>
      <c r="G160" s="2">
        <v>33.799999999999997</v>
      </c>
    </row>
    <row r="161" spans="1:7" x14ac:dyDescent="0.25">
      <c r="A1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240327-LUN004</v>
      </c>
      <c r="B161" s="1" t="str">
        <f>TEXT(Coffee_sales_clean[[#This Row],[Transaction Date]],"dddd")</f>
        <v>Wednesday</v>
      </c>
      <c r="C161" s="12">
        <v>45378</v>
      </c>
      <c r="D161" s="4">
        <v>0.56620415509259259</v>
      </c>
      <c r="E1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1" t="s">
        <v>1</v>
      </c>
      <c r="G161" s="2">
        <v>38.700000000000003</v>
      </c>
    </row>
    <row r="162" spans="1:7" x14ac:dyDescent="0.25">
      <c r="A1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240327-AFT001</v>
      </c>
      <c r="B162" s="1" t="str">
        <f>TEXT(Coffee_sales_clean[[#This Row],[Transaction Date]],"dddd")</f>
        <v>Wednesday</v>
      </c>
      <c r="C162" s="12">
        <v>45378</v>
      </c>
      <c r="D162" s="4">
        <v>0.59897756944444447</v>
      </c>
      <c r="E1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2" t="s">
        <v>7</v>
      </c>
      <c r="G162" s="2">
        <v>38.700000000000003</v>
      </c>
    </row>
    <row r="163" spans="1:7" x14ac:dyDescent="0.25">
      <c r="A1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240327-AFT002</v>
      </c>
      <c r="B163" s="1" t="str">
        <f>TEXT(Coffee_sales_clean[[#This Row],[Transaction Date]],"dddd")</f>
        <v>Wednesday</v>
      </c>
      <c r="C163" s="12">
        <v>45378</v>
      </c>
      <c r="D163" s="4">
        <v>0.59971504629629635</v>
      </c>
      <c r="E1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3" t="s">
        <v>2</v>
      </c>
      <c r="G163" s="2">
        <v>28.9</v>
      </c>
    </row>
    <row r="164" spans="1:7" x14ac:dyDescent="0.25">
      <c r="A1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240327-EVE001</v>
      </c>
      <c r="B164" s="1" t="str">
        <f>TEXT(Coffee_sales_clean[[#This Row],[Transaction Date]],"dddd")</f>
        <v>Wednesday</v>
      </c>
      <c r="C164" s="12">
        <v>45378</v>
      </c>
      <c r="D164" s="4">
        <v>0.77097028935185186</v>
      </c>
      <c r="E1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4" t="s">
        <v>5</v>
      </c>
      <c r="G164" s="2">
        <v>28.9</v>
      </c>
    </row>
    <row r="165" spans="1:7" x14ac:dyDescent="0.25">
      <c r="A1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240328-AFT001</v>
      </c>
      <c r="B165" s="1" t="str">
        <f>TEXT(Coffee_sales_clean[[#This Row],[Transaction Date]],"dddd")</f>
        <v>Thursday</v>
      </c>
      <c r="C165" s="12">
        <v>45379</v>
      </c>
      <c r="D165" s="4">
        <v>0.60054504629629635</v>
      </c>
      <c r="E1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5" t="s">
        <v>5</v>
      </c>
      <c r="G165" s="2">
        <v>28.9</v>
      </c>
    </row>
    <row r="166" spans="1:7" x14ac:dyDescent="0.25">
      <c r="A1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240328-EVE001</v>
      </c>
      <c r="B166" s="1" t="str">
        <f>TEXT(Coffee_sales_clean[[#This Row],[Transaction Date]],"dddd")</f>
        <v>Thursday</v>
      </c>
      <c r="C166" s="12">
        <v>45379</v>
      </c>
      <c r="D166" s="4">
        <v>0.72553523148148147</v>
      </c>
      <c r="E1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6" t="s">
        <v>5</v>
      </c>
      <c r="G166" s="2">
        <v>28.9</v>
      </c>
    </row>
    <row r="167" spans="1:7" x14ac:dyDescent="0.25">
      <c r="A1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240328-EVE002</v>
      </c>
      <c r="B167" s="1" t="str">
        <f>TEXT(Coffee_sales_clean[[#This Row],[Transaction Date]],"dddd")</f>
        <v>Thursday</v>
      </c>
      <c r="C167" s="12">
        <v>45379</v>
      </c>
      <c r="D167" s="4">
        <v>0.72714472222222226</v>
      </c>
      <c r="E1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7" t="s">
        <v>2</v>
      </c>
      <c r="G167" s="2">
        <v>28.9</v>
      </c>
    </row>
    <row r="168" spans="1:7" x14ac:dyDescent="0.25">
      <c r="A1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240328-EVE003</v>
      </c>
      <c r="B168" s="1" t="str">
        <f>TEXT(Coffee_sales_clean[[#This Row],[Transaction Date]],"dddd")</f>
        <v>Thursday</v>
      </c>
      <c r="C168" s="12">
        <v>45379</v>
      </c>
      <c r="D168" s="4">
        <v>0.73107236111111107</v>
      </c>
      <c r="E1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8" t="s">
        <v>0</v>
      </c>
      <c r="G168" s="2">
        <v>38.700000000000003</v>
      </c>
    </row>
    <row r="169" spans="1:7" x14ac:dyDescent="0.25">
      <c r="A1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240329-MOR001</v>
      </c>
      <c r="B169" s="1" t="str">
        <f>TEXT(Coffee_sales_clean[[#This Row],[Transaction Date]],"dddd")</f>
        <v>Friday</v>
      </c>
      <c r="C169" s="12">
        <v>45380</v>
      </c>
      <c r="D169" s="4">
        <v>0.45578119212962964</v>
      </c>
      <c r="E1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9" t="s">
        <v>0</v>
      </c>
      <c r="G169" s="2">
        <v>38.700000000000003</v>
      </c>
    </row>
    <row r="170" spans="1:7" x14ac:dyDescent="0.25">
      <c r="A1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240329-LUN001</v>
      </c>
      <c r="B170" s="1" t="str">
        <f>TEXT(Coffee_sales_clean[[#This Row],[Transaction Date]],"dddd")</f>
        <v>Friday</v>
      </c>
      <c r="C170" s="12">
        <v>45380</v>
      </c>
      <c r="D170" s="4">
        <v>0.5238123032407408</v>
      </c>
      <c r="E1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0" t="s">
        <v>7</v>
      </c>
      <c r="G170" s="2">
        <v>38.700000000000003</v>
      </c>
    </row>
    <row r="171" spans="1:7" x14ac:dyDescent="0.25">
      <c r="A1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240329-LUN002</v>
      </c>
      <c r="B171" s="1" t="str">
        <f>TEXT(Coffee_sales_clean[[#This Row],[Transaction Date]],"dddd")</f>
        <v>Friday</v>
      </c>
      <c r="C171" s="12">
        <v>45380</v>
      </c>
      <c r="D171" s="4">
        <v>0.52884403935185187</v>
      </c>
      <c r="E1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1" t="s">
        <v>7</v>
      </c>
      <c r="G171" s="2">
        <v>38.700000000000003</v>
      </c>
    </row>
    <row r="172" spans="1:7" x14ac:dyDescent="0.25">
      <c r="A1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240330-LUN001</v>
      </c>
      <c r="B172" s="1" t="str">
        <f>TEXT(Coffee_sales_clean[[#This Row],[Transaction Date]],"dddd")</f>
        <v>Saturday</v>
      </c>
      <c r="C172" s="12">
        <v>45381</v>
      </c>
      <c r="D172" s="4">
        <v>0.4995353472222222</v>
      </c>
      <c r="E1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2" t="s">
        <v>0</v>
      </c>
      <c r="G172" s="2">
        <v>38.700000000000003</v>
      </c>
    </row>
    <row r="173" spans="1:7" x14ac:dyDescent="0.25">
      <c r="A1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240330-AFT001</v>
      </c>
      <c r="B173" s="1" t="str">
        <f>TEXT(Coffee_sales_clean[[#This Row],[Transaction Date]],"dddd")</f>
        <v>Saturday</v>
      </c>
      <c r="C173" s="12">
        <v>45381</v>
      </c>
      <c r="D173" s="4">
        <v>0.67536789351851856</v>
      </c>
      <c r="E1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3" t="s">
        <v>0</v>
      </c>
      <c r="G173" s="2">
        <v>38.700000000000003</v>
      </c>
    </row>
    <row r="174" spans="1:7" x14ac:dyDescent="0.25">
      <c r="A1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240330-AFT002</v>
      </c>
      <c r="B174" s="1" t="str">
        <f>TEXT(Coffee_sales_clean[[#This Row],[Transaction Date]],"dddd")</f>
        <v>Saturday</v>
      </c>
      <c r="C174" s="12">
        <v>45381</v>
      </c>
      <c r="D174" s="4">
        <v>0.69213556712962965</v>
      </c>
      <c r="E1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4" t="s">
        <v>0</v>
      </c>
      <c r="G174" s="2">
        <v>38.700000000000003</v>
      </c>
    </row>
    <row r="175" spans="1:7" x14ac:dyDescent="0.25">
      <c r="A1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240330-AFT003</v>
      </c>
      <c r="B175" s="1" t="str">
        <f>TEXT(Coffee_sales_clean[[#This Row],[Transaction Date]],"dddd")</f>
        <v>Saturday</v>
      </c>
      <c r="C175" s="12">
        <v>45381</v>
      </c>
      <c r="D175" s="4">
        <v>0.69302723379629627</v>
      </c>
      <c r="E1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5" t="s">
        <v>3</v>
      </c>
      <c r="G175" s="2">
        <v>33.799999999999997</v>
      </c>
    </row>
    <row r="176" spans="1:7" x14ac:dyDescent="0.25">
      <c r="A1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240331-MOR001</v>
      </c>
      <c r="B176" s="1" t="str">
        <f>TEXT(Coffee_sales_clean[[#This Row],[Transaction Date]],"dddd")</f>
        <v>Sunday</v>
      </c>
      <c r="C176" s="12">
        <v>45382</v>
      </c>
      <c r="D176" s="4">
        <v>0.44449679398148151</v>
      </c>
      <c r="E1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6" t="s">
        <v>7</v>
      </c>
      <c r="G176" s="2">
        <v>38.700000000000003</v>
      </c>
    </row>
    <row r="177" spans="1:7" x14ac:dyDescent="0.25">
      <c r="A1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240401-MOR001</v>
      </c>
      <c r="B177" s="1" t="str">
        <f>TEXT(Coffee_sales_clean[[#This Row],[Transaction Date]],"dddd")</f>
        <v>Monday</v>
      </c>
      <c r="C177" s="12">
        <v>45383</v>
      </c>
      <c r="D177" s="4">
        <v>0.43666204861111113</v>
      </c>
      <c r="E1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7" t="s">
        <v>2</v>
      </c>
      <c r="G177" s="2">
        <v>28.9</v>
      </c>
    </row>
    <row r="178" spans="1:7" x14ac:dyDescent="0.25">
      <c r="A1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240401-MOR002</v>
      </c>
      <c r="B178" s="1" t="str">
        <f>TEXT(Coffee_sales_clean[[#This Row],[Transaction Date]],"dddd")</f>
        <v>Monday</v>
      </c>
      <c r="C178" s="12">
        <v>45383</v>
      </c>
      <c r="D178" s="4">
        <v>0.43729534722222224</v>
      </c>
      <c r="E1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8" t="s">
        <v>3</v>
      </c>
      <c r="G178" s="2">
        <v>33.799999999999997</v>
      </c>
    </row>
    <row r="179" spans="1:7" x14ac:dyDescent="0.25">
      <c r="A1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240401-MOR003</v>
      </c>
      <c r="B179" s="1" t="str">
        <f>TEXT(Coffee_sales_clean[[#This Row],[Transaction Date]],"dddd")</f>
        <v>Monday</v>
      </c>
      <c r="C179" s="12">
        <v>45383</v>
      </c>
      <c r="D179" s="4">
        <v>0.43800619212962966</v>
      </c>
      <c r="E1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" t="s">
        <v>3</v>
      </c>
      <c r="G179" s="2">
        <v>33.799999999999997</v>
      </c>
    </row>
    <row r="180" spans="1:7" x14ac:dyDescent="0.25">
      <c r="A1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240401-LUN001</v>
      </c>
      <c r="B180" s="1" t="str">
        <f>TEXT(Coffee_sales_clean[[#This Row],[Transaction Date]],"dddd")</f>
        <v>Monday</v>
      </c>
      <c r="C180" s="12">
        <v>45383</v>
      </c>
      <c r="D180" s="4">
        <v>0.4692573611111111</v>
      </c>
      <c r="E1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0" t="s">
        <v>3</v>
      </c>
      <c r="G180" s="2">
        <v>33.799999999999997</v>
      </c>
    </row>
    <row r="181" spans="1:7" x14ac:dyDescent="0.25">
      <c r="A1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240401-EVE001</v>
      </c>
      <c r="B181" s="1" t="str">
        <f>TEXT(Coffee_sales_clean[[#This Row],[Transaction Date]],"dddd")</f>
        <v>Monday</v>
      </c>
      <c r="C181" s="12">
        <v>45383</v>
      </c>
      <c r="D181" s="4">
        <v>0.76299041666666667</v>
      </c>
      <c r="E1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1" t="s">
        <v>3</v>
      </c>
      <c r="G181" s="2">
        <v>33.799999999999997</v>
      </c>
    </row>
    <row r="182" spans="1:7" x14ac:dyDescent="0.25">
      <c r="A1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240401-EVE002</v>
      </c>
      <c r="B182" s="1" t="str">
        <f>TEXT(Coffee_sales_clean[[#This Row],[Transaction Date]],"dddd")</f>
        <v>Monday</v>
      </c>
      <c r="C182" s="12">
        <v>45383</v>
      </c>
      <c r="D182" s="4">
        <v>0.78156754629629632</v>
      </c>
      <c r="E1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2" t="s">
        <v>1</v>
      </c>
      <c r="G182" s="2">
        <v>38.700000000000003</v>
      </c>
    </row>
    <row r="183" spans="1:7" x14ac:dyDescent="0.25">
      <c r="A1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240402-MOR001</v>
      </c>
      <c r="B183" s="1" t="str">
        <f>TEXT(Coffee_sales_clean[[#This Row],[Transaction Date]],"dddd")</f>
        <v>Tuesday</v>
      </c>
      <c r="C183" s="12">
        <v>45384</v>
      </c>
      <c r="D183" s="4">
        <v>0.41752340277777777</v>
      </c>
      <c r="E1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3" t="s">
        <v>0</v>
      </c>
      <c r="G183" s="2">
        <v>38.700000000000003</v>
      </c>
    </row>
    <row r="184" spans="1:7" x14ac:dyDescent="0.25">
      <c r="A1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240402-AFT001</v>
      </c>
      <c r="B184" s="1" t="str">
        <f>TEXT(Coffee_sales_clean[[#This Row],[Transaction Date]],"dddd")</f>
        <v>Tuesday</v>
      </c>
      <c r="C184" s="12">
        <v>45384</v>
      </c>
      <c r="D184" s="4">
        <v>0.67956214120370373</v>
      </c>
      <c r="E1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4" t="s">
        <v>2</v>
      </c>
      <c r="G184" s="2">
        <v>28.9</v>
      </c>
    </row>
    <row r="185" spans="1:7" x14ac:dyDescent="0.25">
      <c r="A1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240402-AFT002</v>
      </c>
      <c r="B185" s="1" t="str">
        <f>TEXT(Coffee_sales_clean[[#This Row],[Transaction Date]],"dddd")</f>
        <v>Tuesday</v>
      </c>
      <c r="C185" s="12">
        <v>45384</v>
      </c>
      <c r="D185" s="4">
        <v>0.68019050925925928</v>
      </c>
      <c r="E1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5" t="s">
        <v>5</v>
      </c>
      <c r="G185" s="2">
        <v>28.9</v>
      </c>
    </row>
    <row r="186" spans="1:7" x14ac:dyDescent="0.25">
      <c r="A1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240403-MOR001</v>
      </c>
      <c r="B186" s="1" t="str">
        <f>TEXT(Coffee_sales_clean[[#This Row],[Transaction Date]],"dddd")</f>
        <v>Wednesday</v>
      </c>
      <c r="C186" s="12">
        <v>45385</v>
      </c>
      <c r="D186" s="4">
        <v>0.43001902777777778</v>
      </c>
      <c r="E1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6" t="s">
        <v>5</v>
      </c>
      <c r="G186" s="2">
        <v>28.9</v>
      </c>
    </row>
    <row r="187" spans="1:7" x14ac:dyDescent="0.25">
      <c r="A1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240403-MOR002</v>
      </c>
      <c r="B187" s="1" t="str">
        <f>TEXT(Coffee_sales_clean[[#This Row],[Transaction Date]],"dddd")</f>
        <v>Wednesday</v>
      </c>
      <c r="C187" s="12">
        <v>45385</v>
      </c>
      <c r="D187" s="4">
        <v>0.43064415509259257</v>
      </c>
      <c r="E1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7" t="s">
        <v>2</v>
      </c>
      <c r="G187" s="2">
        <v>28.9</v>
      </c>
    </row>
    <row r="188" spans="1:7" x14ac:dyDescent="0.25">
      <c r="A1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240403-LUN001</v>
      </c>
      <c r="B188" s="1" t="str">
        <f>TEXT(Coffee_sales_clean[[#This Row],[Transaction Date]],"dddd")</f>
        <v>Wednesday</v>
      </c>
      <c r="C188" s="12">
        <v>45385</v>
      </c>
      <c r="D188" s="4">
        <v>0.5500621180555556</v>
      </c>
      <c r="E1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8" t="s">
        <v>7</v>
      </c>
      <c r="G188" s="2">
        <v>38.700000000000003</v>
      </c>
    </row>
    <row r="189" spans="1:7" x14ac:dyDescent="0.25">
      <c r="A1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240404-MOR001</v>
      </c>
      <c r="B189" s="1" t="str">
        <f>TEXT(Coffee_sales_clean[[#This Row],[Transaction Date]],"dddd")</f>
        <v>Thursday</v>
      </c>
      <c r="C189" s="12">
        <v>45386</v>
      </c>
      <c r="D189" s="4">
        <v>0.44787023148148147</v>
      </c>
      <c r="E1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9" t="s">
        <v>0</v>
      </c>
      <c r="G189" s="2">
        <v>38.700000000000003</v>
      </c>
    </row>
    <row r="190" spans="1:7" x14ac:dyDescent="0.25">
      <c r="A1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240404-LUN001</v>
      </c>
      <c r="B190" s="1" t="str">
        <f>TEXT(Coffee_sales_clean[[#This Row],[Transaction Date]],"dddd")</f>
        <v>Thursday</v>
      </c>
      <c r="C190" s="12">
        <v>45386</v>
      </c>
      <c r="D190" s="4">
        <v>0.47682968749999999</v>
      </c>
      <c r="E1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0" t="s">
        <v>0</v>
      </c>
      <c r="G190" s="2">
        <v>38.700000000000003</v>
      </c>
    </row>
    <row r="191" spans="1:7" x14ac:dyDescent="0.25">
      <c r="A1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240404-LUN002</v>
      </c>
      <c r="B191" s="1" t="str">
        <f>TEXT(Coffee_sales_clean[[#This Row],[Transaction Date]],"dddd")</f>
        <v>Thursday</v>
      </c>
      <c r="C191" s="12">
        <v>45386</v>
      </c>
      <c r="D191" s="4">
        <v>0.47764364583333335</v>
      </c>
      <c r="E1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1" t="s">
        <v>7</v>
      </c>
      <c r="G191" s="2">
        <v>38.700000000000003</v>
      </c>
    </row>
    <row r="192" spans="1:7" x14ac:dyDescent="0.25">
      <c r="A1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240404-LUN003</v>
      </c>
      <c r="B192" s="1" t="str">
        <f>TEXT(Coffee_sales_clean[[#This Row],[Transaction Date]],"dddd")</f>
        <v>Thursday</v>
      </c>
      <c r="C192" s="12">
        <v>45386</v>
      </c>
      <c r="D192" s="4">
        <v>0.51599787037037037</v>
      </c>
      <c r="E1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2" t="s">
        <v>5</v>
      </c>
      <c r="G192" s="2">
        <v>28.9</v>
      </c>
    </row>
    <row r="193" spans="1:7" x14ac:dyDescent="0.25">
      <c r="A1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240405-MOR001</v>
      </c>
      <c r="B193" s="1" t="str">
        <f>TEXT(Coffee_sales_clean[[#This Row],[Transaction Date]],"dddd")</f>
        <v>Friday</v>
      </c>
      <c r="C193" s="12">
        <v>45387</v>
      </c>
      <c r="D193" s="4">
        <v>0.44493898148148148</v>
      </c>
      <c r="E1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3" t="s">
        <v>2</v>
      </c>
      <c r="G193" s="2">
        <v>28.9</v>
      </c>
    </row>
    <row r="194" spans="1:7" x14ac:dyDescent="0.25">
      <c r="A1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240405-MOR002</v>
      </c>
      <c r="B194" s="1" t="str">
        <f>TEXT(Coffee_sales_clean[[#This Row],[Transaction Date]],"dddd")</f>
        <v>Friday</v>
      </c>
      <c r="C194" s="12">
        <v>45387</v>
      </c>
      <c r="D194" s="4">
        <v>0.44590513888888889</v>
      </c>
      <c r="E1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4" t="s">
        <v>2</v>
      </c>
      <c r="G194" s="2">
        <v>28.9</v>
      </c>
    </row>
    <row r="195" spans="1:7" x14ac:dyDescent="0.25">
      <c r="A1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240405-LUN001</v>
      </c>
      <c r="B195" s="1" t="str">
        <f>TEXT(Coffee_sales_clean[[#This Row],[Transaction Date]],"dddd")</f>
        <v>Friday</v>
      </c>
      <c r="C195" s="12">
        <v>45387</v>
      </c>
      <c r="D195" s="4">
        <v>0.46266947916666668</v>
      </c>
      <c r="E1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5" t="s">
        <v>5</v>
      </c>
      <c r="G195" s="2">
        <v>28.9</v>
      </c>
    </row>
    <row r="196" spans="1:7" x14ac:dyDescent="0.25">
      <c r="A1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240405-LUN002</v>
      </c>
      <c r="B196" s="1" t="str">
        <f>TEXT(Coffee_sales_clean[[#This Row],[Transaction Date]],"dddd")</f>
        <v>Friday</v>
      </c>
      <c r="C196" s="12">
        <v>45387</v>
      </c>
      <c r="D196" s="4">
        <v>0.51004600694444446</v>
      </c>
      <c r="E1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6" t="s">
        <v>3</v>
      </c>
      <c r="G196" s="2">
        <v>33.799999999999997</v>
      </c>
    </row>
    <row r="197" spans="1:7" x14ac:dyDescent="0.25">
      <c r="A1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240405-AFT001</v>
      </c>
      <c r="B197" s="1" t="str">
        <f>TEXT(Coffee_sales_clean[[#This Row],[Transaction Date]],"dddd")</f>
        <v>Friday</v>
      </c>
      <c r="C197" s="12">
        <v>45387</v>
      </c>
      <c r="D197" s="4">
        <v>0.59977299768518522</v>
      </c>
      <c r="E1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7" t="s">
        <v>0</v>
      </c>
      <c r="G197" s="2">
        <v>38.700000000000003</v>
      </c>
    </row>
    <row r="198" spans="1:7" x14ac:dyDescent="0.25">
      <c r="A1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240405-AFT002</v>
      </c>
      <c r="B198" s="1" t="str">
        <f>TEXT(Coffee_sales_clean[[#This Row],[Transaction Date]],"dddd")</f>
        <v>Friday</v>
      </c>
      <c r="C198" s="12">
        <v>45387</v>
      </c>
      <c r="D198" s="4">
        <v>0.60058353009259258</v>
      </c>
      <c r="E1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8" t="s">
        <v>5</v>
      </c>
      <c r="G198" s="2">
        <v>28.9</v>
      </c>
    </row>
    <row r="199" spans="1:7" x14ac:dyDescent="0.25">
      <c r="A1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240405-AFT003</v>
      </c>
      <c r="B199" s="1" t="str">
        <f>TEXT(Coffee_sales_clean[[#This Row],[Transaction Date]],"dddd")</f>
        <v>Friday</v>
      </c>
      <c r="C199" s="12">
        <v>45387</v>
      </c>
      <c r="D199" s="4">
        <v>0.67943932870370372</v>
      </c>
      <c r="E1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9" t="s">
        <v>6</v>
      </c>
      <c r="G199" s="2">
        <v>24</v>
      </c>
    </row>
    <row r="200" spans="1:7" x14ac:dyDescent="0.25">
      <c r="A2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240406-LUN001</v>
      </c>
      <c r="B200" s="1" t="str">
        <f>TEXT(Coffee_sales_clean[[#This Row],[Transaction Date]],"dddd")</f>
        <v>Saturday</v>
      </c>
      <c r="C200" s="12">
        <v>45388</v>
      </c>
      <c r="D200" s="4">
        <v>0.52258562500000005</v>
      </c>
      <c r="E2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0" t="s">
        <v>3</v>
      </c>
      <c r="G200" s="2">
        <v>33.799999999999997</v>
      </c>
    </row>
    <row r="201" spans="1:7" x14ac:dyDescent="0.25">
      <c r="A2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240406-AFT001</v>
      </c>
      <c r="B201" s="1" t="str">
        <f>TEXT(Coffee_sales_clean[[#This Row],[Transaction Date]],"dddd")</f>
        <v>Saturday</v>
      </c>
      <c r="C201" s="12">
        <v>45388</v>
      </c>
      <c r="D201" s="4">
        <v>0.59257792824074074</v>
      </c>
      <c r="E2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1" t="s">
        <v>7</v>
      </c>
      <c r="G201" s="2">
        <v>38.700000000000003</v>
      </c>
    </row>
    <row r="202" spans="1:7" x14ac:dyDescent="0.25">
      <c r="A2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240406-AFT002</v>
      </c>
      <c r="B202" s="1" t="str">
        <f>TEXT(Coffee_sales_clean[[#This Row],[Transaction Date]],"dddd")</f>
        <v>Saturday</v>
      </c>
      <c r="C202" s="12">
        <v>45388</v>
      </c>
      <c r="D202" s="4">
        <v>0.59336839120370366</v>
      </c>
      <c r="E2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2" t="s">
        <v>2</v>
      </c>
      <c r="G202" s="2">
        <v>28.9</v>
      </c>
    </row>
    <row r="203" spans="1:7" x14ac:dyDescent="0.25">
      <c r="A2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240406-AFT003</v>
      </c>
      <c r="B203" s="1" t="str">
        <f>TEXT(Coffee_sales_clean[[#This Row],[Transaction Date]],"dddd")</f>
        <v>Saturday</v>
      </c>
      <c r="C203" s="12">
        <v>45388</v>
      </c>
      <c r="D203" s="4">
        <v>0.61794193287037036</v>
      </c>
      <c r="E2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3" t="s">
        <v>0</v>
      </c>
      <c r="G203" s="2">
        <v>38.700000000000003</v>
      </c>
    </row>
    <row r="204" spans="1:7" x14ac:dyDescent="0.25">
      <c r="A2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240407-MOR001</v>
      </c>
      <c r="B204" s="1" t="str">
        <f>TEXT(Coffee_sales_clean[[#This Row],[Transaction Date]],"dddd")</f>
        <v>Sunday</v>
      </c>
      <c r="C204" s="12">
        <v>45389</v>
      </c>
      <c r="D204" s="4">
        <v>0.42561578703703706</v>
      </c>
      <c r="E2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4" t="s">
        <v>0</v>
      </c>
      <c r="G204" s="2">
        <v>38.700000000000003</v>
      </c>
    </row>
    <row r="205" spans="1:7" x14ac:dyDescent="0.25">
      <c r="A2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240407-LUN001</v>
      </c>
      <c r="B205" s="1" t="str">
        <f>TEXT(Coffee_sales_clean[[#This Row],[Transaction Date]],"dddd")</f>
        <v>Sunday</v>
      </c>
      <c r="C205" s="12">
        <v>45389</v>
      </c>
      <c r="D205" s="4">
        <v>0.53092518518518517</v>
      </c>
      <c r="E2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5" t="s">
        <v>7</v>
      </c>
      <c r="G205" s="2">
        <v>38.700000000000003</v>
      </c>
    </row>
    <row r="206" spans="1:7" x14ac:dyDescent="0.25">
      <c r="A2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240407-LUN002</v>
      </c>
      <c r="B206" s="1" t="str">
        <f>TEXT(Coffee_sales_clean[[#This Row],[Transaction Date]],"dddd")</f>
        <v>Sunday</v>
      </c>
      <c r="C206" s="12">
        <v>45389</v>
      </c>
      <c r="D206" s="4">
        <v>0.53200368055555558</v>
      </c>
      <c r="E2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6" t="s">
        <v>7</v>
      </c>
      <c r="G206" s="2">
        <v>38.700000000000003</v>
      </c>
    </row>
    <row r="207" spans="1:7" x14ac:dyDescent="0.25">
      <c r="A2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240407-AFT001</v>
      </c>
      <c r="B207" s="1" t="str">
        <f>TEXT(Coffee_sales_clean[[#This Row],[Transaction Date]],"dddd")</f>
        <v>Sunday</v>
      </c>
      <c r="C207" s="12">
        <v>45389</v>
      </c>
      <c r="D207" s="4">
        <v>0.59473320601851853</v>
      </c>
      <c r="E2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7" t="s">
        <v>5</v>
      </c>
      <c r="G207" s="2">
        <v>28.9</v>
      </c>
    </row>
    <row r="208" spans="1:7" x14ac:dyDescent="0.25">
      <c r="A2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240407-AFT002</v>
      </c>
      <c r="B208" s="1" t="str">
        <f>TEXT(Coffee_sales_clean[[#This Row],[Transaction Date]],"dddd")</f>
        <v>Sunday</v>
      </c>
      <c r="C208" s="12">
        <v>45389</v>
      </c>
      <c r="D208" s="4">
        <v>0.59549337962962967</v>
      </c>
      <c r="E2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8" t="s">
        <v>6</v>
      </c>
      <c r="G208" s="2">
        <v>24</v>
      </c>
    </row>
    <row r="209" spans="1:7" x14ac:dyDescent="0.25">
      <c r="A2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240407-EVE001</v>
      </c>
      <c r="B209" s="1" t="str">
        <f>TEXT(Coffee_sales_clean[[#This Row],[Transaction Date]],"dddd")</f>
        <v>Sunday</v>
      </c>
      <c r="C209" s="12">
        <v>45389</v>
      </c>
      <c r="D209" s="4">
        <v>0.7508866666666667</v>
      </c>
      <c r="E2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9" t="s">
        <v>1</v>
      </c>
      <c r="G209" s="2">
        <v>38.700000000000003</v>
      </c>
    </row>
    <row r="210" spans="1:7" x14ac:dyDescent="0.25">
      <c r="A2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240407-EVE002</v>
      </c>
      <c r="B210" s="1" t="str">
        <f>TEXT(Coffee_sales_clean[[#This Row],[Transaction Date]],"dddd")</f>
        <v>Sunday</v>
      </c>
      <c r="C210" s="12">
        <v>45389</v>
      </c>
      <c r="D210" s="4">
        <v>0.75143377314814819</v>
      </c>
      <c r="E2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0" t="s">
        <v>3</v>
      </c>
      <c r="G210" s="2">
        <v>33.799999999999997</v>
      </c>
    </row>
    <row r="211" spans="1:7" x14ac:dyDescent="0.25">
      <c r="A2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240408-MOR001</v>
      </c>
      <c r="B211" s="1" t="str">
        <f>TEXT(Coffee_sales_clean[[#This Row],[Transaction Date]],"dddd")</f>
        <v>Monday</v>
      </c>
      <c r="C211" s="12">
        <v>45390</v>
      </c>
      <c r="D211" s="4">
        <v>0.45718872685185186</v>
      </c>
      <c r="E2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1" t="s">
        <v>3</v>
      </c>
      <c r="G211" s="2">
        <v>33.799999999999997</v>
      </c>
    </row>
    <row r="212" spans="1:7" x14ac:dyDescent="0.25">
      <c r="A2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240408-MOR002</v>
      </c>
      <c r="B212" s="1" t="str">
        <f>TEXT(Coffee_sales_clean[[#This Row],[Transaction Date]],"dddd")</f>
        <v>Monday</v>
      </c>
      <c r="C212" s="12">
        <v>45390</v>
      </c>
      <c r="D212" s="4">
        <v>0.45795784722222221</v>
      </c>
      <c r="E2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2" t="s">
        <v>7</v>
      </c>
      <c r="G212" s="2">
        <v>38.700000000000003</v>
      </c>
    </row>
    <row r="213" spans="1:7" x14ac:dyDescent="0.25">
      <c r="A2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240408-LUN001</v>
      </c>
      <c r="B213" s="1" t="str">
        <f>TEXT(Coffee_sales_clean[[#This Row],[Transaction Date]],"dddd")</f>
        <v>Monday</v>
      </c>
      <c r="C213" s="12">
        <v>45390</v>
      </c>
      <c r="D213" s="4">
        <v>0.45926462962962961</v>
      </c>
      <c r="E2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3" t="s">
        <v>2</v>
      </c>
      <c r="G213" s="2">
        <v>28.9</v>
      </c>
    </row>
    <row r="214" spans="1:7" x14ac:dyDescent="0.25">
      <c r="A2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240408-LUN002</v>
      </c>
      <c r="B214" s="1" t="str">
        <f>TEXT(Coffee_sales_clean[[#This Row],[Transaction Date]],"dddd")</f>
        <v>Monday</v>
      </c>
      <c r="C214" s="12">
        <v>45390</v>
      </c>
      <c r="D214" s="4">
        <v>0.46165543981481483</v>
      </c>
      <c r="E2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4" t="s">
        <v>7</v>
      </c>
      <c r="G214" s="2">
        <v>38.700000000000003</v>
      </c>
    </row>
    <row r="215" spans="1:7" x14ac:dyDescent="0.25">
      <c r="A2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240408-AFT001</v>
      </c>
      <c r="B215" s="1" t="str">
        <f>TEXT(Coffee_sales_clean[[#This Row],[Transaction Date]],"dddd")</f>
        <v>Monday</v>
      </c>
      <c r="C215" s="12">
        <v>45390</v>
      </c>
      <c r="D215" s="4">
        <v>0.69557645833333337</v>
      </c>
      <c r="E2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5" t="s">
        <v>0</v>
      </c>
      <c r="G215" s="2">
        <v>38.700000000000003</v>
      </c>
    </row>
    <row r="216" spans="1:7" x14ac:dyDescent="0.25">
      <c r="A2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240408-EVE001</v>
      </c>
      <c r="B216" s="1" t="str">
        <f>TEXT(Coffee_sales_clean[[#This Row],[Transaction Date]],"dddd")</f>
        <v>Monday</v>
      </c>
      <c r="C216" s="12">
        <v>45390</v>
      </c>
      <c r="D216" s="4">
        <v>0.76261241898148147</v>
      </c>
      <c r="E2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6" t="s">
        <v>2</v>
      </c>
      <c r="G216" s="2">
        <v>28.9</v>
      </c>
    </row>
    <row r="217" spans="1:7" x14ac:dyDescent="0.25">
      <c r="A2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240408-EVE002</v>
      </c>
      <c r="B217" s="1" t="str">
        <f>TEXT(Coffee_sales_clean[[#This Row],[Transaction Date]],"dddd")</f>
        <v>Monday</v>
      </c>
      <c r="C217" s="12">
        <v>45390</v>
      </c>
      <c r="D217" s="4">
        <v>0.80726246527777779</v>
      </c>
      <c r="E2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7" t="s">
        <v>3</v>
      </c>
      <c r="G217" s="2">
        <v>33.799999999999997</v>
      </c>
    </row>
    <row r="218" spans="1:7" x14ac:dyDescent="0.25">
      <c r="A2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240408-EVE003</v>
      </c>
      <c r="B218" s="1" t="str">
        <f>TEXT(Coffee_sales_clean[[#This Row],[Transaction Date]],"dddd")</f>
        <v>Monday</v>
      </c>
      <c r="C218" s="12">
        <v>45390</v>
      </c>
      <c r="D218" s="4">
        <v>0.80832486111111113</v>
      </c>
      <c r="E2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8" t="s">
        <v>7</v>
      </c>
      <c r="G218" s="2">
        <v>38.700000000000003</v>
      </c>
    </row>
    <row r="219" spans="1:7" x14ac:dyDescent="0.25">
      <c r="A2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240409-LUN001</v>
      </c>
      <c r="B219" s="1" t="str">
        <f>TEXT(Coffee_sales_clean[[#This Row],[Transaction Date]],"dddd")</f>
        <v>Tuesday</v>
      </c>
      <c r="C219" s="12">
        <v>45391</v>
      </c>
      <c r="D219" s="4">
        <v>0.48782949074074072</v>
      </c>
      <c r="E2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9" t="s">
        <v>0</v>
      </c>
      <c r="G219" s="2">
        <v>38.700000000000003</v>
      </c>
    </row>
    <row r="220" spans="1:7" x14ac:dyDescent="0.25">
      <c r="A2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240409-AFT001</v>
      </c>
      <c r="B220" s="1" t="str">
        <f>TEXT(Coffee_sales_clean[[#This Row],[Transaction Date]],"dddd")</f>
        <v>Tuesday</v>
      </c>
      <c r="C220" s="12">
        <v>45391</v>
      </c>
      <c r="D220" s="4">
        <v>0.63320277777777778</v>
      </c>
      <c r="E2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0" t="s">
        <v>1</v>
      </c>
      <c r="G220" s="2">
        <v>38.700000000000003</v>
      </c>
    </row>
    <row r="221" spans="1:7" x14ac:dyDescent="0.25">
      <c r="A2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240409-EVE001</v>
      </c>
      <c r="B221" s="1" t="str">
        <f>TEXT(Coffee_sales_clean[[#This Row],[Transaction Date]],"dddd")</f>
        <v>Tuesday</v>
      </c>
      <c r="C221" s="12">
        <v>45391</v>
      </c>
      <c r="D221" s="4">
        <v>0.7259714814814815</v>
      </c>
      <c r="E2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1" t="s">
        <v>1</v>
      </c>
      <c r="G221" s="2">
        <v>38.700000000000003</v>
      </c>
    </row>
    <row r="222" spans="1:7" x14ac:dyDescent="0.25">
      <c r="A2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240410-EVE001</v>
      </c>
      <c r="B222" s="1" t="str">
        <f>TEXT(Coffee_sales_clean[[#This Row],[Transaction Date]],"dddd")</f>
        <v>Wednesday</v>
      </c>
      <c r="C222" s="12">
        <v>45392</v>
      </c>
      <c r="D222" s="4">
        <v>0.74688939814814814</v>
      </c>
      <c r="E2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2" t="s">
        <v>6</v>
      </c>
      <c r="G222" s="2">
        <v>24</v>
      </c>
    </row>
    <row r="223" spans="1:7" x14ac:dyDescent="0.25">
      <c r="A2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240410-EVE002</v>
      </c>
      <c r="B223" s="1" t="str">
        <f>TEXT(Coffee_sales_clean[[#This Row],[Transaction Date]],"dddd")</f>
        <v>Wednesday</v>
      </c>
      <c r="C223" s="12">
        <v>45392</v>
      </c>
      <c r="D223" s="4">
        <v>0.76735289351851854</v>
      </c>
      <c r="E2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3" t="s">
        <v>7</v>
      </c>
      <c r="G223" s="2">
        <v>38.700000000000003</v>
      </c>
    </row>
    <row r="224" spans="1:7" x14ac:dyDescent="0.25">
      <c r="A2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240410-LAT001</v>
      </c>
      <c r="B224" s="1" t="str">
        <f>TEXT(Coffee_sales_clean[[#This Row],[Transaction Date]],"dddd")</f>
        <v>Wednesday</v>
      </c>
      <c r="C224" s="12">
        <v>45392</v>
      </c>
      <c r="D224" s="4">
        <v>0.83617344907407409</v>
      </c>
      <c r="E2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24" t="s">
        <v>0</v>
      </c>
      <c r="G224" s="2">
        <v>38.700000000000003</v>
      </c>
    </row>
    <row r="225" spans="1:7" x14ac:dyDescent="0.25">
      <c r="A2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240411-MOR001</v>
      </c>
      <c r="B225" s="1" t="str">
        <f>TEXT(Coffee_sales_clean[[#This Row],[Transaction Date]],"dddd")</f>
        <v>Thursday</v>
      </c>
      <c r="C225" s="12">
        <v>45393</v>
      </c>
      <c r="D225" s="4">
        <v>0.44540688657407407</v>
      </c>
      <c r="E2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5" t="s">
        <v>2</v>
      </c>
      <c r="G225" s="2">
        <v>28.9</v>
      </c>
    </row>
    <row r="226" spans="1:7" x14ac:dyDescent="0.25">
      <c r="A2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240411-MOR002</v>
      </c>
      <c r="B226" s="1" t="str">
        <f>TEXT(Coffee_sales_clean[[#This Row],[Transaction Date]],"dddd")</f>
        <v>Thursday</v>
      </c>
      <c r="C226" s="12">
        <v>45393</v>
      </c>
      <c r="D226" s="4">
        <v>0.44652042824074073</v>
      </c>
      <c r="E2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6" t="s">
        <v>2</v>
      </c>
      <c r="G226" s="2">
        <v>28.9</v>
      </c>
    </row>
    <row r="227" spans="1:7" x14ac:dyDescent="0.25">
      <c r="A2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240411-AFT001</v>
      </c>
      <c r="B227" s="1" t="str">
        <f>TEXT(Coffee_sales_clean[[#This Row],[Transaction Date]],"dddd")</f>
        <v>Thursday</v>
      </c>
      <c r="C227" s="12">
        <v>45393</v>
      </c>
      <c r="D227" s="4">
        <v>0.69123922453703701</v>
      </c>
      <c r="E2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7" t="s">
        <v>0</v>
      </c>
      <c r="G227" s="2">
        <v>38.700000000000003</v>
      </c>
    </row>
    <row r="228" spans="1:7" x14ac:dyDescent="0.25">
      <c r="A2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240411-EVE001</v>
      </c>
      <c r="B228" s="1" t="str">
        <f>TEXT(Coffee_sales_clean[[#This Row],[Transaction Date]],"dddd")</f>
        <v>Thursday</v>
      </c>
      <c r="C228" s="12">
        <v>45393</v>
      </c>
      <c r="D228" s="4">
        <v>0.80343273148148153</v>
      </c>
      <c r="E2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8" t="s">
        <v>7</v>
      </c>
      <c r="G228" s="2">
        <v>38.700000000000003</v>
      </c>
    </row>
    <row r="229" spans="1:7" x14ac:dyDescent="0.25">
      <c r="A2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240411-EVE002</v>
      </c>
      <c r="B229" s="1" t="str">
        <f>TEXT(Coffee_sales_clean[[#This Row],[Transaction Date]],"dddd")</f>
        <v>Thursday</v>
      </c>
      <c r="C229" s="12">
        <v>45393</v>
      </c>
      <c r="D229" s="4">
        <v>0.8045904976851852</v>
      </c>
      <c r="E2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9" t="s">
        <v>3</v>
      </c>
      <c r="G229" s="2">
        <v>33.799999999999997</v>
      </c>
    </row>
    <row r="230" spans="1:7" x14ac:dyDescent="0.25">
      <c r="A2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240412-EVE001</v>
      </c>
      <c r="B230" s="1" t="str">
        <f>TEXT(Coffee_sales_clean[[#This Row],[Transaction Date]],"dddd")</f>
        <v>Friday</v>
      </c>
      <c r="C230" s="12">
        <v>45394</v>
      </c>
      <c r="D230" s="4">
        <v>0.79425234953703705</v>
      </c>
      <c r="E2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0" t="s">
        <v>1</v>
      </c>
      <c r="G230" s="2">
        <v>38.700000000000003</v>
      </c>
    </row>
    <row r="231" spans="1:7" x14ac:dyDescent="0.25">
      <c r="A2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240412-EVE002</v>
      </c>
      <c r="B231" s="1" t="str">
        <f>TEXT(Coffee_sales_clean[[#This Row],[Transaction Date]],"dddd")</f>
        <v>Friday</v>
      </c>
      <c r="C231" s="12">
        <v>45394</v>
      </c>
      <c r="D231" s="4">
        <v>0.81832394675925924</v>
      </c>
      <c r="E2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1" t="s">
        <v>5</v>
      </c>
      <c r="G231" s="2">
        <v>28.9</v>
      </c>
    </row>
    <row r="232" spans="1:7" x14ac:dyDescent="0.25">
      <c r="A2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240413-LUN001</v>
      </c>
      <c r="B232" s="1" t="str">
        <f>TEXT(Coffee_sales_clean[[#This Row],[Transaction Date]],"dddd")</f>
        <v>Saturday</v>
      </c>
      <c r="C232" s="12">
        <v>45395</v>
      </c>
      <c r="D232" s="4">
        <v>0.52036832175925929</v>
      </c>
      <c r="E2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2" t="s">
        <v>0</v>
      </c>
      <c r="G232" s="2">
        <v>38.700000000000003</v>
      </c>
    </row>
    <row r="233" spans="1:7" x14ac:dyDescent="0.25">
      <c r="A2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240413-LUN002</v>
      </c>
      <c r="B233" s="1" t="str">
        <f>TEXT(Coffee_sales_clean[[#This Row],[Transaction Date]],"dddd")</f>
        <v>Saturday</v>
      </c>
      <c r="C233" s="12">
        <v>45395</v>
      </c>
      <c r="D233" s="4">
        <v>0.52988876157407405</v>
      </c>
      <c r="E2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3" t="s">
        <v>2</v>
      </c>
      <c r="G233" s="2">
        <v>28.9</v>
      </c>
    </row>
    <row r="234" spans="1:7" x14ac:dyDescent="0.25">
      <c r="A2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240413-AFT001</v>
      </c>
      <c r="B234" s="1" t="str">
        <f>TEXT(Coffee_sales_clean[[#This Row],[Transaction Date]],"dddd")</f>
        <v>Saturday</v>
      </c>
      <c r="C234" s="12">
        <v>45395</v>
      </c>
      <c r="D234" s="4">
        <v>0.67921224537037039</v>
      </c>
      <c r="E2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4" t="s">
        <v>7</v>
      </c>
      <c r="G234" s="2">
        <v>38.700000000000003</v>
      </c>
    </row>
    <row r="235" spans="1:7" x14ac:dyDescent="0.25">
      <c r="A2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240413-AFT002</v>
      </c>
      <c r="B235" s="1" t="str">
        <f>TEXT(Coffee_sales_clean[[#This Row],[Transaction Date]],"dddd")</f>
        <v>Saturday</v>
      </c>
      <c r="C235" s="12">
        <v>45395</v>
      </c>
      <c r="D235" s="4">
        <v>0.68032174768518516</v>
      </c>
      <c r="E2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5" t="s">
        <v>0</v>
      </c>
      <c r="G235" s="2">
        <v>38.700000000000003</v>
      </c>
    </row>
    <row r="236" spans="1:7" x14ac:dyDescent="0.25">
      <c r="A2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240413-EVE001</v>
      </c>
      <c r="B236" s="1" t="str">
        <f>TEXT(Coffee_sales_clean[[#This Row],[Transaction Date]],"dddd")</f>
        <v>Saturday</v>
      </c>
      <c r="C236" s="12">
        <v>45395</v>
      </c>
      <c r="D236" s="4">
        <v>0.74405122685185188</v>
      </c>
      <c r="E2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6" t="s">
        <v>7</v>
      </c>
      <c r="G236" s="2">
        <v>38.700000000000003</v>
      </c>
    </row>
    <row r="237" spans="1:7" x14ac:dyDescent="0.25">
      <c r="A2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240413-EVE002</v>
      </c>
      <c r="B237" s="1" t="str">
        <f>TEXT(Coffee_sales_clean[[#This Row],[Transaction Date]],"dddd")</f>
        <v>Saturday</v>
      </c>
      <c r="C237" s="12">
        <v>45395</v>
      </c>
      <c r="D237" s="4">
        <v>0.7453615393518519</v>
      </c>
      <c r="E2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7" t="s">
        <v>7</v>
      </c>
      <c r="G237" s="2">
        <v>38.700000000000003</v>
      </c>
    </row>
    <row r="238" spans="1:7" x14ac:dyDescent="0.25">
      <c r="A2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240414-LUN001</v>
      </c>
      <c r="B238" s="1" t="str">
        <f>TEXT(Coffee_sales_clean[[#This Row],[Transaction Date]],"dddd")</f>
        <v>Sunday</v>
      </c>
      <c r="C238" s="12">
        <v>45396</v>
      </c>
      <c r="D238" s="4">
        <v>0.51711837962962959</v>
      </c>
      <c r="E2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8" t="s">
        <v>7</v>
      </c>
      <c r="G238" s="2">
        <v>38.700000000000003</v>
      </c>
    </row>
    <row r="239" spans="1:7" x14ac:dyDescent="0.25">
      <c r="A2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240414-LUN002</v>
      </c>
      <c r="B239" s="1" t="str">
        <f>TEXT(Coffee_sales_clean[[#This Row],[Transaction Date]],"dddd")</f>
        <v>Sunday</v>
      </c>
      <c r="C239" s="12">
        <v>45396</v>
      </c>
      <c r="D239" s="4">
        <v>0.55682648148148151</v>
      </c>
      <c r="E2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9" t="s">
        <v>5</v>
      </c>
      <c r="G239" s="2">
        <v>28.9</v>
      </c>
    </row>
    <row r="240" spans="1:7" x14ac:dyDescent="0.25">
      <c r="A2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240414-AFT001</v>
      </c>
      <c r="B240" s="1" t="str">
        <f>TEXT(Coffee_sales_clean[[#This Row],[Transaction Date]],"dddd")</f>
        <v>Sunday</v>
      </c>
      <c r="C240" s="12">
        <v>45396</v>
      </c>
      <c r="D240" s="4">
        <v>0.59967165509259257</v>
      </c>
      <c r="E2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0" t="s">
        <v>2</v>
      </c>
      <c r="G240" s="2">
        <v>28.9</v>
      </c>
    </row>
    <row r="241" spans="1:7" x14ac:dyDescent="0.25">
      <c r="A2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240414-AFT002</v>
      </c>
      <c r="B241" s="1" t="str">
        <f>TEXT(Coffee_sales_clean[[#This Row],[Transaction Date]],"dddd")</f>
        <v>Sunday</v>
      </c>
      <c r="C241" s="12">
        <v>45396</v>
      </c>
      <c r="D241" s="4">
        <v>0.60031168981481486</v>
      </c>
      <c r="E2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1" t="s">
        <v>2</v>
      </c>
      <c r="G241" s="2">
        <v>28.9</v>
      </c>
    </row>
    <row r="242" spans="1:7" x14ac:dyDescent="0.25">
      <c r="A2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240414-AFT003</v>
      </c>
      <c r="B242" s="1" t="str">
        <f>TEXT(Coffee_sales_clean[[#This Row],[Transaction Date]],"dddd")</f>
        <v>Sunday</v>
      </c>
      <c r="C242" s="12">
        <v>45396</v>
      </c>
      <c r="D242" s="4">
        <v>0.60090418981481486</v>
      </c>
      <c r="E2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2" t="s">
        <v>2</v>
      </c>
      <c r="G242" s="2">
        <v>28.9</v>
      </c>
    </row>
    <row r="243" spans="1:7" x14ac:dyDescent="0.25">
      <c r="A2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240414-AFT004</v>
      </c>
      <c r="B243" s="1" t="str">
        <f>TEXT(Coffee_sales_clean[[#This Row],[Transaction Date]],"dddd")</f>
        <v>Sunday</v>
      </c>
      <c r="C243" s="12">
        <v>45396</v>
      </c>
      <c r="D243" s="4">
        <v>0.65726542824074075</v>
      </c>
      <c r="E2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3" t="s">
        <v>7</v>
      </c>
      <c r="G243" s="2">
        <v>38.700000000000003</v>
      </c>
    </row>
    <row r="244" spans="1:7" x14ac:dyDescent="0.25">
      <c r="A2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240414-AFT005</v>
      </c>
      <c r="B244" s="1" t="str">
        <f>TEXT(Coffee_sales_clean[[#This Row],[Transaction Date]],"dddd")</f>
        <v>Sunday</v>
      </c>
      <c r="C244" s="12">
        <v>45396</v>
      </c>
      <c r="D244" s="4">
        <v>0.70827341435185187</v>
      </c>
      <c r="E2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4" t="s">
        <v>5</v>
      </c>
      <c r="G244" s="2">
        <v>28.9</v>
      </c>
    </row>
    <row r="245" spans="1:7" x14ac:dyDescent="0.25">
      <c r="A2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240414-EVE001</v>
      </c>
      <c r="B245" s="1" t="str">
        <f>TEXT(Coffee_sales_clean[[#This Row],[Transaction Date]],"dddd")</f>
        <v>Sunday</v>
      </c>
      <c r="C245" s="12">
        <v>45396</v>
      </c>
      <c r="D245" s="4">
        <v>0.70885864583333336</v>
      </c>
      <c r="E2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5" t="s">
        <v>0</v>
      </c>
      <c r="G245" s="2">
        <v>38.700000000000003</v>
      </c>
    </row>
    <row r="246" spans="1:7" x14ac:dyDescent="0.25">
      <c r="A2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240414-EVE002</v>
      </c>
      <c r="B246" s="1" t="str">
        <f>TEXT(Coffee_sales_clean[[#This Row],[Transaction Date]],"dddd")</f>
        <v>Sunday</v>
      </c>
      <c r="C246" s="12">
        <v>45396</v>
      </c>
      <c r="D246" s="4">
        <v>0.77661630787037039</v>
      </c>
      <c r="E2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6" t="s">
        <v>7</v>
      </c>
      <c r="G246" s="2">
        <v>38.700000000000003</v>
      </c>
    </row>
    <row r="247" spans="1:7" x14ac:dyDescent="0.25">
      <c r="A2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240415-LUN001</v>
      </c>
      <c r="B247" s="1" t="str">
        <f>TEXT(Coffee_sales_clean[[#This Row],[Transaction Date]],"dddd")</f>
        <v>Monday</v>
      </c>
      <c r="C247" s="12">
        <v>45397</v>
      </c>
      <c r="D247" s="4">
        <v>0.48986827546296297</v>
      </c>
      <c r="E2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7" t="s">
        <v>2</v>
      </c>
      <c r="G247" s="2">
        <v>28.9</v>
      </c>
    </row>
    <row r="248" spans="1:7" x14ac:dyDescent="0.25">
      <c r="A2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240415-EVE001</v>
      </c>
      <c r="B248" s="1" t="str">
        <f>TEXT(Coffee_sales_clean[[#This Row],[Transaction Date]],"dddd")</f>
        <v>Monday</v>
      </c>
      <c r="C248" s="12">
        <v>45397</v>
      </c>
      <c r="D248" s="4">
        <v>0.70956434027777782</v>
      </c>
      <c r="E2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8" t="s">
        <v>2</v>
      </c>
      <c r="G248" s="2">
        <v>28.9</v>
      </c>
    </row>
    <row r="249" spans="1:7" x14ac:dyDescent="0.25">
      <c r="A2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240415-EVE002</v>
      </c>
      <c r="B249" s="1" t="str">
        <f>TEXT(Coffee_sales_clean[[#This Row],[Transaction Date]],"dddd")</f>
        <v>Monday</v>
      </c>
      <c r="C249" s="12">
        <v>45397</v>
      </c>
      <c r="D249" s="4">
        <v>0.71029800925925923</v>
      </c>
      <c r="E2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9" t="s">
        <v>3</v>
      </c>
      <c r="G249" s="2">
        <v>33.799999999999997</v>
      </c>
    </row>
    <row r="250" spans="1:7" x14ac:dyDescent="0.25">
      <c r="A2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240415-EVE003</v>
      </c>
      <c r="B250" s="1" t="str">
        <f>TEXT(Coffee_sales_clean[[#This Row],[Transaction Date]],"dddd")</f>
        <v>Monday</v>
      </c>
      <c r="C250" s="12">
        <v>45397</v>
      </c>
      <c r="D250" s="4">
        <v>0.81461847222222217</v>
      </c>
      <c r="E2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0" t="s">
        <v>3</v>
      </c>
      <c r="G250" s="2">
        <v>33.799999999999997</v>
      </c>
    </row>
    <row r="251" spans="1:7" x14ac:dyDescent="0.25">
      <c r="A2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240416-MOR001</v>
      </c>
      <c r="B251" s="1" t="str">
        <f>TEXT(Coffee_sales_clean[[#This Row],[Transaction Date]],"dddd")</f>
        <v>Tuesday</v>
      </c>
      <c r="C251" s="12">
        <v>45398</v>
      </c>
      <c r="D251" s="4">
        <v>0.44890863425925925</v>
      </c>
      <c r="E2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1" t="s">
        <v>3</v>
      </c>
      <c r="G251" s="2">
        <v>33.799999999999997</v>
      </c>
    </row>
    <row r="252" spans="1:7" x14ac:dyDescent="0.25">
      <c r="A2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240416-LUN001</v>
      </c>
      <c r="B252" s="1" t="str">
        <f>TEXT(Coffee_sales_clean[[#This Row],[Transaction Date]],"dddd")</f>
        <v>Tuesday</v>
      </c>
      <c r="C252" s="12">
        <v>45398</v>
      </c>
      <c r="D252" s="4">
        <v>0.52832957175925921</v>
      </c>
      <c r="E2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2" t="s">
        <v>4</v>
      </c>
      <c r="G252" s="2">
        <v>38.700000000000003</v>
      </c>
    </row>
    <row r="253" spans="1:7" x14ac:dyDescent="0.25">
      <c r="A2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240416-LUN002</v>
      </c>
      <c r="B253" s="1" t="str">
        <f>TEXT(Coffee_sales_clean[[#This Row],[Transaction Date]],"dddd")</f>
        <v>Tuesday</v>
      </c>
      <c r="C253" s="12">
        <v>45398</v>
      </c>
      <c r="D253" s="4">
        <v>0.53620081018518517</v>
      </c>
      <c r="E2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3" t="s">
        <v>5</v>
      </c>
      <c r="G253" s="2">
        <v>28.9</v>
      </c>
    </row>
    <row r="254" spans="1:7" x14ac:dyDescent="0.25">
      <c r="A2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240416-AFT001</v>
      </c>
      <c r="B254" s="1" t="str">
        <f>TEXT(Coffee_sales_clean[[#This Row],[Transaction Date]],"dddd")</f>
        <v>Tuesday</v>
      </c>
      <c r="C254" s="12">
        <v>45398</v>
      </c>
      <c r="D254" s="4">
        <v>0.62727880787037038</v>
      </c>
      <c r="E2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4" t="s">
        <v>2</v>
      </c>
      <c r="G254" s="2">
        <v>28.9</v>
      </c>
    </row>
    <row r="255" spans="1:7" x14ac:dyDescent="0.25">
      <c r="A2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240416-EVE001</v>
      </c>
      <c r="B255" s="1" t="str">
        <f>TEXT(Coffee_sales_clean[[#This Row],[Transaction Date]],"dddd")</f>
        <v>Tuesday</v>
      </c>
      <c r="C255" s="12">
        <v>45398</v>
      </c>
      <c r="D255" s="4">
        <v>0.73754870370370373</v>
      </c>
      <c r="E2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5" t="s">
        <v>3</v>
      </c>
      <c r="G255" s="2">
        <v>33.799999999999997</v>
      </c>
    </row>
    <row r="256" spans="1:7" x14ac:dyDescent="0.25">
      <c r="A2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240416-EVE002</v>
      </c>
      <c r="B256" s="1" t="str">
        <f>TEXT(Coffee_sales_clean[[#This Row],[Transaction Date]],"dddd")</f>
        <v>Tuesday</v>
      </c>
      <c r="C256" s="12">
        <v>45398</v>
      </c>
      <c r="D256" s="4">
        <v>0.73846018518518519</v>
      </c>
      <c r="E2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6" t="s">
        <v>7</v>
      </c>
      <c r="G256" s="2">
        <v>38.700000000000003</v>
      </c>
    </row>
    <row r="257" spans="1:7" x14ac:dyDescent="0.25">
      <c r="A2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240416-EVE003</v>
      </c>
      <c r="B257" s="1" t="str">
        <f>TEXT(Coffee_sales_clean[[#This Row],[Transaction Date]],"dddd")</f>
        <v>Tuesday</v>
      </c>
      <c r="C257" s="12">
        <v>45398</v>
      </c>
      <c r="D257" s="4">
        <v>0.7563110300925926</v>
      </c>
      <c r="E2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7" t="s">
        <v>4</v>
      </c>
      <c r="G257" s="2">
        <v>38.700000000000003</v>
      </c>
    </row>
    <row r="258" spans="1:7" x14ac:dyDescent="0.25">
      <c r="A2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240417-LUN001</v>
      </c>
      <c r="B258" s="1" t="str">
        <f>TEXT(Coffee_sales_clean[[#This Row],[Transaction Date]],"dddd")</f>
        <v>Wednesday</v>
      </c>
      <c r="C258" s="12">
        <v>45399</v>
      </c>
      <c r="D258" s="4">
        <v>0.5645809259259259</v>
      </c>
      <c r="E2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8" t="s">
        <v>2</v>
      </c>
      <c r="G258" s="2">
        <v>28.9</v>
      </c>
    </row>
    <row r="259" spans="1:7" x14ac:dyDescent="0.25">
      <c r="A2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240417-LUN002</v>
      </c>
      <c r="B259" s="1" t="str">
        <f>TEXT(Coffee_sales_clean[[#This Row],[Transaction Date]],"dddd")</f>
        <v>Wednesday</v>
      </c>
      <c r="C259" s="12">
        <v>45399</v>
      </c>
      <c r="D259" s="4">
        <v>0.57222431712962962</v>
      </c>
      <c r="E2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9" t="s">
        <v>6</v>
      </c>
      <c r="G259" s="2">
        <v>24</v>
      </c>
    </row>
    <row r="260" spans="1:7" x14ac:dyDescent="0.25">
      <c r="A2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240417-EVE001</v>
      </c>
      <c r="B260" s="1" t="str">
        <f>TEXT(Coffee_sales_clean[[#This Row],[Transaction Date]],"dddd")</f>
        <v>Wednesday</v>
      </c>
      <c r="C260" s="12">
        <v>45399</v>
      </c>
      <c r="D260" s="4">
        <v>0.70943459490740746</v>
      </c>
      <c r="E2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0" t="s">
        <v>7</v>
      </c>
      <c r="G260" s="2">
        <v>38.700000000000003</v>
      </c>
    </row>
    <row r="261" spans="1:7" x14ac:dyDescent="0.25">
      <c r="A2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240417-EVE002</v>
      </c>
      <c r="B261" s="1" t="str">
        <f>TEXT(Coffee_sales_clean[[#This Row],[Transaction Date]],"dddd")</f>
        <v>Wednesday</v>
      </c>
      <c r="C261" s="12">
        <v>45399</v>
      </c>
      <c r="D261" s="4">
        <v>0.71019313657407412</v>
      </c>
      <c r="E2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1" t="s">
        <v>7</v>
      </c>
      <c r="G261" s="2">
        <v>38.700000000000003</v>
      </c>
    </row>
    <row r="262" spans="1:7" x14ac:dyDescent="0.25">
      <c r="A2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240417-EVE003</v>
      </c>
      <c r="B262" s="1" t="str">
        <f>TEXT(Coffee_sales_clean[[#This Row],[Transaction Date]],"dddd")</f>
        <v>Wednesday</v>
      </c>
      <c r="C262" s="12">
        <v>45399</v>
      </c>
      <c r="D262" s="4">
        <v>0.75975959490740741</v>
      </c>
      <c r="E2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2" t="s">
        <v>5</v>
      </c>
      <c r="G262" s="2">
        <v>28.9</v>
      </c>
    </row>
    <row r="263" spans="1:7" x14ac:dyDescent="0.25">
      <c r="A2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240418-LUN001</v>
      </c>
      <c r="B263" s="1" t="str">
        <f>TEXT(Coffee_sales_clean[[#This Row],[Transaction Date]],"dddd")</f>
        <v>Thursday</v>
      </c>
      <c r="C263" s="12">
        <v>45400</v>
      </c>
      <c r="D263" s="4">
        <v>0.47154737268518521</v>
      </c>
      <c r="E2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3" t="s">
        <v>2</v>
      </c>
      <c r="G263" s="2">
        <v>28.9</v>
      </c>
    </row>
    <row r="264" spans="1:7" x14ac:dyDescent="0.25">
      <c r="A2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240418-LUN002</v>
      </c>
      <c r="B264" s="1" t="str">
        <f>TEXT(Coffee_sales_clean[[#This Row],[Transaction Date]],"dddd")</f>
        <v>Thursday</v>
      </c>
      <c r="C264" s="12">
        <v>45400</v>
      </c>
      <c r="D264" s="4">
        <v>0.47228814814814812</v>
      </c>
      <c r="E2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4" t="s">
        <v>2</v>
      </c>
      <c r="G264" s="2">
        <v>28.9</v>
      </c>
    </row>
    <row r="265" spans="1:7" x14ac:dyDescent="0.25">
      <c r="A2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240418-LUN003</v>
      </c>
      <c r="B265" s="1" t="str">
        <f>TEXT(Coffee_sales_clean[[#This Row],[Transaction Date]],"dddd")</f>
        <v>Thursday</v>
      </c>
      <c r="C265" s="12">
        <v>45400</v>
      </c>
      <c r="D265" s="4">
        <v>0.5758416666666667</v>
      </c>
      <c r="E2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5" t="s">
        <v>3</v>
      </c>
      <c r="G265" s="2">
        <v>33.799999999999997</v>
      </c>
    </row>
    <row r="266" spans="1:7" x14ac:dyDescent="0.25">
      <c r="A2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240418-LUN004</v>
      </c>
      <c r="B266" s="1" t="str">
        <f>TEXT(Coffee_sales_clean[[#This Row],[Transaction Date]],"dddd")</f>
        <v>Thursday</v>
      </c>
      <c r="C266" s="12">
        <v>45400</v>
      </c>
      <c r="D266" s="4">
        <v>0.57658894675925931</v>
      </c>
      <c r="E2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6" t="s">
        <v>5</v>
      </c>
      <c r="G266" s="2">
        <v>28.9</v>
      </c>
    </row>
    <row r="267" spans="1:7" x14ac:dyDescent="0.25">
      <c r="A2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240418-AFT001</v>
      </c>
      <c r="B267" s="1" t="str">
        <f>TEXT(Coffee_sales_clean[[#This Row],[Transaction Date]],"dddd")</f>
        <v>Thursday</v>
      </c>
      <c r="C267" s="12">
        <v>45400</v>
      </c>
      <c r="D267" s="4">
        <v>0.60717381944444448</v>
      </c>
      <c r="E2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7" t="s">
        <v>7</v>
      </c>
      <c r="G267" s="2">
        <v>38.700000000000003</v>
      </c>
    </row>
    <row r="268" spans="1:7" x14ac:dyDescent="0.25">
      <c r="A2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240418-AFT002</v>
      </c>
      <c r="B268" s="1" t="str">
        <f>TEXT(Coffee_sales_clean[[#This Row],[Transaction Date]],"dddd")</f>
        <v>Thursday</v>
      </c>
      <c r="C268" s="12">
        <v>45400</v>
      </c>
      <c r="D268" s="4">
        <v>0.60821011574074069</v>
      </c>
      <c r="E2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8" t="s">
        <v>0</v>
      </c>
      <c r="G268" s="2">
        <v>38.700000000000003</v>
      </c>
    </row>
    <row r="269" spans="1:7" x14ac:dyDescent="0.25">
      <c r="A2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240418-EVE001</v>
      </c>
      <c r="B269" s="1" t="str">
        <f>TEXT(Coffee_sales_clean[[#This Row],[Transaction Date]],"dddd")</f>
        <v>Thursday</v>
      </c>
      <c r="C269" s="12">
        <v>45400</v>
      </c>
      <c r="D269" s="4">
        <v>0.73907165509259254</v>
      </c>
      <c r="E2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9" t="s">
        <v>0</v>
      </c>
      <c r="G269" s="2">
        <v>38.700000000000003</v>
      </c>
    </row>
    <row r="270" spans="1:7" x14ac:dyDescent="0.25">
      <c r="A2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240418-EVE002</v>
      </c>
      <c r="B270" s="1" t="str">
        <f>TEXT(Coffee_sales_clean[[#This Row],[Transaction Date]],"dddd")</f>
        <v>Thursday</v>
      </c>
      <c r="C270" s="12">
        <v>45400</v>
      </c>
      <c r="D270" s="4">
        <v>0.76465214120370373</v>
      </c>
      <c r="E2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0" t="s">
        <v>7</v>
      </c>
      <c r="G270" s="2">
        <v>38.700000000000003</v>
      </c>
    </row>
    <row r="271" spans="1:7" x14ac:dyDescent="0.25">
      <c r="A2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240418-EVE003</v>
      </c>
      <c r="B271" s="1" t="str">
        <f>TEXT(Coffee_sales_clean[[#This Row],[Transaction Date]],"dddd")</f>
        <v>Thursday</v>
      </c>
      <c r="C271" s="12">
        <v>45400</v>
      </c>
      <c r="D271" s="4">
        <v>0.81934251157407412</v>
      </c>
      <c r="E2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1" t="s">
        <v>1</v>
      </c>
      <c r="G271" s="2">
        <v>38.700000000000003</v>
      </c>
    </row>
    <row r="272" spans="1:7" x14ac:dyDescent="0.25">
      <c r="A2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240418-EVE004</v>
      </c>
      <c r="B272" s="1" t="str">
        <f>TEXT(Coffee_sales_clean[[#This Row],[Transaction Date]],"dddd")</f>
        <v>Thursday</v>
      </c>
      <c r="C272" s="12">
        <v>45400</v>
      </c>
      <c r="D272" s="4">
        <v>0.82001104166666672</v>
      </c>
      <c r="E2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2" t="s">
        <v>1</v>
      </c>
      <c r="G272" s="2">
        <v>38.700000000000003</v>
      </c>
    </row>
    <row r="273" spans="1:7" x14ac:dyDescent="0.25">
      <c r="A2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240419-MOR001</v>
      </c>
      <c r="B273" s="1" t="str">
        <f>TEXT(Coffee_sales_clean[[#This Row],[Transaction Date]],"dddd")</f>
        <v>Friday</v>
      </c>
      <c r="C273" s="12">
        <v>45401</v>
      </c>
      <c r="D273" s="4">
        <v>0.42403071759259259</v>
      </c>
      <c r="E2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3" t="s">
        <v>0</v>
      </c>
      <c r="G273" s="2">
        <v>38.700000000000003</v>
      </c>
    </row>
    <row r="274" spans="1:7" x14ac:dyDescent="0.25">
      <c r="A2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240419-LUN001</v>
      </c>
      <c r="B274" s="1" t="str">
        <f>TEXT(Coffee_sales_clean[[#This Row],[Transaction Date]],"dddd")</f>
        <v>Friday</v>
      </c>
      <c r="C274" s="12">
        <v>45401</v>
      </c>
      <c r="D274" s="4">
        <v>0.54985935185185186</v>
      </c>
      <c r="E2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4" t="s">
        <v>3</v>
      </c>
      <c r="G274" s="2">
        <v>33.799999999999997</v>
      </c>
    </row>
    <row r="275" spans="1:7" x14ac:dyDescent="0.25">
      <c r="A2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240419-LUN002</v>
      </c>
      <c r="B275" s="1" t="str">
        <f>TEXT(Coffee_sales_clean[[#This Row],[Transaction Date]],"dddd")</f>
        <v>Friday</v>
      </c>
      <c r="C275" s="12">
        <v>45401</v>
      </c>
      <c r="D275" s="4">
        <v>0.55093606481481483</v>
      </c>
      <c r="E2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5" t="s">
        <v>7</v>
      </c>
      <c r="G275" s="2">
        <v>38.700000000000003</v>
      </c>
    </row>
    <row r="276" spans="1:7" x14ac:dyDescent="0.25">
      <c r="A2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240419-LUN003</v>
      </c>
      <c r="B276" s="1" t="str">
        <f>TEXT(Coffee_sales_clean[[#This Row],[Transaction Date]],"dddd")</f>
        <v>Friday</v>
      </c>
      <c r="C276" s="12">
        <v>45401</v>
      </c>
      <c r="D276" s="4">
        <v>0.58257018518518522</v>
      </c>
      <c r="E2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6" t="s">
        <v>1</v>
      </c>
      <c r="G276" s="2">
        <v>38.700000000000003</v>
      </c>
    </row>
    <row r="277" spans="1:7" x14ac:dyDescent="0.25">
      <c r="A2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240419-LUN004</v>
      </c>
      <c r="B277" s="1" t="str">
        <f>TEXT(Coffee_sales_clean[[#This Row],[Transaction Date]],"dddd")</f>
        <v>Friday</v>
      </c>
      <c r="C277" s="12">
        <v>45401</v>
      </c>
      <c r="D277" s="4">
        <v>0.58321400462962958</v>
      </c>
      <c r="E2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7" t="s">
        <v>7</v>
      </c>
      <c r="G277" s="2">
        <v>38.700000000000003</v>
      </c>
    </row>
    <row r="278" spans="1:7" x14ac:dyDescent="0.25">
      <c r="A2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240419-EVE001</v>
      </c>
      <c r="B278" s="1" t="str">
        <f>TEXT(Coffee_sales_clean[[#This Row],[Transaction Date]],"dddd")</f>
        <v>Friday</v>
      </c>
      <c r="C278" s="12">
        <v>45401</v>
      </c>
      <c r="D278" s="4">
        <v>0.76619572916666667</v>
      </c>
      <c r="E2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8" t="s">
        <v>4</v>
      </c>
      <c r="G278" s="2">
        <v>38.700000000000003</v>
      </c>
    </row>
    <row r="279" spans="1:7" x14ac:dyDescent="0.25">
      <c r="A2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240419-EVE002</v>
      </c>
      <c r="B279" s="1" t="str">
        <f>TEXT(Coffee_sales_clean[[#This Row],[Transaction Date]],"dddd")</f>
        <v>Friday</v>
      </c>
      <c r="C279" s="12">
        <v>45401</v>
      </c>
      <c r="D279" s="4">
        <v>0.76774814814814818</v>
      </c>
      <c r="E2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9" t="s">
        <v>3</v>
      </c>
      <c r="G279" s="2">
        <v>33.799999999999997</v>
      </c>
    </row>
    <row r="280" spans="1:7" x14ac:dyDescent="0.25">
      <c r="A2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240420-LUN001</v>
      </c>
      <c r="B280" s="1" t="str">
        <f>TEXT(Coffee_sales_clean[[#This Row],[Transaction Date]],"dddd")</f>
        <v>Saturday</v>
      </c>
      <c r="C280" s="12">
        <v>45402</v>
      </c>
      <c r="D280" s="4">
        <v>0.50596876157407411</v>
      </c>
      <c r="E2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0" t="s">
        <v>3</v>
      </c>
      <c r="G280" s="2">
        <v>33.799999999999997</v>
      </c>
    </row>
    <row r="281" spans="1:7" x14ac:dyDescent="0.25">
      <c r="A2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240420-LUN002</v>
      </c>
      <c r="B281" s="1" t="str">
        <f>TEXT(Coffee_sales_clean[[#This Row],[Transaction Date]],"dddd")</f>
        <v>Saturday</v>
      </c>
      <c r="C281" s="12">
        <v>45402</v>
      </c>
      <c r="D281" s="4">
        <v>0.50674379629629629</v>
      </c>
      <c r="E2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1" t="s">
        <v>3</v>
      </c>
      <c r="G281" s="2">
        <v>33.799999999999997</v>
      </c>
    </row>
    <row r="282" spans="1:7" x14ac:dyDescent="0.25">
      <c r="A2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240420-LUN003</v>
      </c>
      <c r="B282" s="1" t="str">
        <f>TEXT(Coffee_sales_clean[[#This Row],[Transaction Date]],"dddd")</f>
        <v>Saturday</v>
      </c>
      <c r="C282" s="12">
        <v>45402</v>
      </c>
      <c r="D282" s="4">
        <v>0.54765483796296299</v>
      </c>
      <c r="E2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2" t="s">
        <v>2</v>
      </c>
      <c r="G282" s="2">
        <v>28.9</v>
      </c>
    </row>
    <row r="283" spans="1:7" x14ac:dyDescent="0.25">
      <c r="A2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240420-LUN004</v>
      </c>
      <c r="B283" s="1" t="str">
        <f>TEXT(Coffee_sales_clean[[#This Row],[Transaction Date]],"dddd")</f>
        <v>Saturday</v>
      </c>
      <c r="C283" s="12">
        <v>45402</v>
      </c>
      <c r="D283" s="4">
        <v>0.54847112268518516</v>
      </c>
      <c r="E2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3" t="s">
        <v>3</v>
      </c>
      <c r="G283" s="2">
        <v>33.799999999999997</v>
      </c>
    </row>
    <row r="284" spans="1:7" x14ac:dyDescent="0.25">
      <c r="A2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240420-LUN005</v>
      </c>
      <c r="B284" s="1" t="str">
        <f>TEXT(Coffee_sales_clean[[#This Row],[Transaction Date]],"dddd")</f>
        <v>Saturday</v>
      </c>
      <c r="C284" s="12">
        <v>45402</v>
      </c>
      <c r="D284" s="4">
        <v>0.54924943287037042</v>
      </c>
      <c r="E2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4" t="s">
        <v>1</v>
      </c>
      <c r="G284" s="2">
        <v>38.700000000000003</v>
      </c>
    </row>
    <row r="285" spans="1:7" x14ac:dyDescent="0.25">
      <c r="A2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240420-AFT001</v>
      </c>
      <c r="B285" s="1" t="str">
        <f>TEXT(Coffee_sales_clean[[#This Row],[Transaction Date]],"dddd")</f>
        <v>Saturday</v>
      </c>
      <c r="C285" s="12">
        <v>45402</v>
      </c>
      <c r="D285" s="4">
        <v>0.61409858796296302</v>
      </c>
      <c r="E2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5" t="s">
        <v>7</v>
      </c>
      <c r="G285" s="2">
        <v>38.700000000000003</v>
      </c>
    </row>
    <row r="286" spans="1:7" x14ac:dyDescent="0.25">
      <c r="A2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240420-AFT002</v>
      </c>
      <c r="B286" s="1" t="str">
        <f>TEXT(Coffee_sales_clean[[#This Row],[Transaction Date]],"dddd")</f>
        <v>Saturday</v>
      </c>
      <c r="C286" s="12">
        <v>45402</v>
      </c>
      <c r="D286" s="4">
        <v>0.63264270833333336</v>
      </c>
      <c r="E2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6" t="s">
        <v>3</v>
      </c>
      <c r="G286" s="2">
        <v>33.799999999999997</v>
      </c>
    </row>
    <row r="287" spans="1:7" x14ac:dyDescent="0.25">
      <c r="A2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240420-AFT003</v>
      </c>
      <c r="B287" s="1" t="str">
        <f>TEXT(Coffee_sales_clean[[#This Row],[Transaction Date]],"dddd")</f>
        <v>Saturday</v>
      </c>
      <c r="C287" s="12">
        <v>45402</v>
      </c>
      <c r="D287" s="4">
        <v>0.6407490393518519</v>
      </c>
      <c r="E2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7" t="s">
        <v>3</v>
      </c>
      <c r="G287" s="2">
        <v>32.82</v>
      </c>
    </row>
    <row r="288" spans="1:7" x14ac:dyDescent="0.25">
      <c r="A2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240420-AFT004</v>
      </c>
      <c r="B288" s="1" t="str">
        <f>TEXT(Coffee_sales_clean[[#This Row],[Transaction Date]],"dddd")</f>
        <v>Saturday</v>
      </c>
      <c r="C288" s="12">
        <v>45402</v>
      </c>
      <c r="D288" s="4">
        <v>0.65931884259259255</v>
      </c>
      <c r="E2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8" t="s">
        <v>3</v>
      </c>
      <c r="G288" s="2">
        <v>32.82</v>
      </c>
    </row>
    <row r="289" spans="1:7" x14ac:dyDescent="0.25">
      <c r="A2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240420-EVE001</v>
      </c>
      <c r="B289" s="1" t="str">
        <f>TEXT(Coffee_sales_clean[[#This Row],[Transaction Date]],"dddd")</f>
        <v>Saturday</v>
      </c>
      <c r="C289" s="12">
        <v>45402</v>
      </c>
      <c r="D289" s="4">
        <v>0.76923027777777775</v>
      </c>
      <c r="E2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9" t="s">
        <v>7</v>
      </c>
      <c r="G289" s="2">
        <v>37.72</v>
      </c>
    </row>
    <row r="290" spans="1:7" x14ac:dyDescent="0.25">
      <c r="A2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240420-EVE002</v>
      </c>
      <c r="B290" s="1" t="str">
        <f>TEXT(Coffee_sales_clean[[#This Row],[Transaction Date]],"dddd")</f>
        <v>Saturday</v>
      </c>
      <c r="C290" s="12">
        <v>45402</v>
      </c>
      <c r="D290" s="4">
        <v>0.76998726851851851</v>
      </c>
      <c r="E2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0" t="s">
        <v>7</v>
      </c>
      <c r="G290" s="2">
        <v>37.72</v>
      </c>
    </row>
    <row r="291" spans="1:7" x14ac:dyDescent="0.25">
      <c r="A2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240420-EVE003</v>
      </c>
      <c r="B291" s="1" t="str">
        <f>TEXT(Coffee_sales_clean[[#This Row],[Transaction Date]],"dddd")</f>
        <v>Saturday</v>
      </c>
      <c r="C291" s="12">
        <v>45402</v>
      </c>
      <c r="D291" s="4">
        <v>0.81314024305555554</v>
      </c>
      <c r="E2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1" t="s">
        <v>0</v>
      </c>
      <c r="G291" s="2">
        <v>37.72</v>
      </c>
    </row>
    <row r="292" spans="1:7" x14ac:dyDescent="0.25">
      <c r="A2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240421-LUN001</v>
      </c>
      <c r="B292" s="1" t="str">
        <f>TEXT(Coffee_sales_clean[[#This Row],[Transaction Date]],"dddd")</f>
        <v>Sunday</v>
      </c>
      <c r="C292" s="12">
        <v>45403</v>
      </c>
      <c r="D292" s="4">
        <v>0.46997346064814816</v>
      </c>
      <c r="E2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2" t="s">
        <v>0</v>
      </c>
      <c r="G292" s="2">
        <v>37.72</v>
      </c>
    </row>
    <row r="293" spans="1:7" x14ac:dyDescent="0.25">
      <c r="A2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240421-AFT001</v>
      </c>
      <c r="B293" s="1" t="str">
        <f>TEXT(Coffee_sales_clean[[#This Row],[Transaction Date]],"dddd")</f>
        <v>Sunday</v>
      </c>
      <c r="C293" s="12">
        <v>45403</v>
      </c>
      <c r="D293" s="4">
        <v>0.59418450231481479</v>
      </c>
      <c r="E2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3" t="s">
        <v>2</v>
      </c>
      <c r="G293" s="2">
        <v>27.92</v>
      </c>
    </row>
    <row r="294" spans="1:7" x14ac:dyDescent="0.25">
      <c r="A2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240422-LUN001</v>
      </c>
      <c r="B294" s="1" t="str">
        <f>TEXT(Coffee_sales_clean[[#This Row],[Transaction Date]],"dddd")</f>
        <v>Monday</v>
      </c>
      <c r="C294" s="12">
        <v>45404</v>
      </c>
      <c r="D294" s="4">
        <v>0.46477328703703702</v>
      </c>
      <c r="E2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4" t="s">
        <v>2</v>
      </c>
      <c r="G294" s="2">
        <v>27.92</v>
      </c>
    </row>
    <row r="295" spans="1:7" x14ac:dyDescent="0.25">
      <c r="A2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240422-LUN002</v>
      </c>
      <c r="B295" s="1" t="str">
        <f>TEXT(Coffee_sales_clean[[#This Row],[Transaction Date]],"dddd")</f>
        <v>Monday</v>
      </c>
      <c r="C295" s="12">
        <v>45404</v>
      </c>
      <c r="D295" s="4">
        <v>0.47878586805555556</v>
      </c>
      <c r="E2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5" t="s">
        <v>3</v>
      </c>
      <c r="G295" s="2">
        <v>32.82</v>
      </c>
    </row>
    <row r="296" spans="1:7" x14ac:dyDescent="0.25">
      <c r="A2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240422-EVE001</v>
      </c>
      <c r="B296" s="1" t="str">
        <f>TEXT(Coffee_sales_clean[[#This Row],[Transaction Date]],"dddd")</f>
        <v>Monday</v>
      </c>
      <c r="C296" s="12">
        <v>45404</v>
      </c>
      <c r="D296" s="4">
        <v>0.81880508101851857</v>
      </c>
      <c r="E2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6" t="s">
        <v>0</v>
      </c>
      <c r="G296" s="2">
        <v>37.72</v>
      </c>
    </row>
    <row r="297" spans="1:7" x14ac:dyDescent="0.25">
      <c r="A2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240423-AFT001</v>
      </c>
      <c r="B297" s="1" t="str">
        <f>TEXT(Coffee_sales_clean[[#This Row],[Transaction Date]],"dddd")</f>
        <v>Tuesday</v>
      </c>
      <c r="C297" s="12">
        <v>45405</v>
      </c>
      <c r="D297" s="4">
        <v>0.59902771990740744</v>
      </c>
      <c r="E2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7" t="s">
        <v>7</v>
      </c>
      <c r="G297" s="2">
        <v>37.72</v>
      </c>
    </row>
    <row r="298" spans="1:7" x14ac:dyDescent="0.25">
      <c r="A2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240423-AFT002</v>
      </c>
      <c r="B298" s="1" t="str">
        <f>TEXT(Coffee_sales_clean[[#This Row],[Transaction Date]],"dddd")</f>
        <v>Tuesday</v>
      </c>
      <c r="C298" s="12">
        <v>45405</v>
      </c>
      <c r="D298" s="4">
        <v>0.59992064814814816</v>
      </c>
      <c r="E2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8" t="s">
        <v>3</v>
      </c>
      <c r="G298" s="2">
        <v>32.82</v>
      </c>
    </row>
    <row r="299" spans="1:7" x14ac:dyDescent="0.25">
      <c r="A2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240423-AFT003</v>
      </c>
      <c r="B299" s="1" t="str">
        <f>TEXT(Coffee_sales_clean[[#This Row],[Transaction Date]],"dddd")</f>
        <v>Tuesday</v>
      </c>
      <c r="C299" s="12">
        <v>45405</v>
      </c>
      <c r="D299" s="4">
        <v>0.60066568287037037</v>
      </c>
      <c r="E2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9" t="s">
        <v>7</v>
      </c>
      <c r="G299" s="2">
        <v>37.72</v>
      </c>
    </row>
    <row r="300" spans="1:7" x14ac:dyDescent="0.25">
      <c r="A3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240423-EVE001</v>
      </c>
      <c r="B300" s="1" t="str">
        <f>TEXT(Coffee_sales_clean[[#This Row],[Transaction Date]],"dddd")</f>
        <v>Tuesday</v>
      </c>
      <c r="C300" s="12">
        <v>45405</v>
      </c>
      <c r="D300" s="4">
        <v>0.82115468749999998</v>
      </c>
      <c r="E3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0" t="s">
        <v>3</v>
      </c>
      <c r="G300" s="2">
        <v>32.82</v>
      </c>
    </row>
    <row r="301" spans="1:7" x14ac:dyDescent="0.25">
      <c r="A3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240423-EVE002</v>
      </c>
      <c r="B301" s="1" t="str">
        <f>TEXT(Coffee_sales_clean[[#This Row],[Transaction Date]],"dddd")</f>
        <v>Tuesday</v>
      </c>
      <c r="C301" s="12">
        <v>45405</v>
      </c>
      <c r="D301" s="4">
        <v>0.82183141203703702</v>
      </c>
      <c r="E3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1" t="s">
        <v>3</v>
      </c>
      <c r="G301" s="2">
        <v>32.82</v>
      </c>
    </row>
    <row r="302" spans="1:7" x14ac:dyDescent="0.25">
      <c r="A3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240424-MOR001</v>
      </c>
      <c r="B302" s="1" t="str">
        <f>TEXT(Coffee_sales_clean[[#This Row],[Transaction Date]],"dddd")</f>
        <v>Wednesday</v>
      </c>
      <c r="C302" s="12">
        <v>45406</v>
      </c>
      <c r="D302" s="4">
        <v>0.43030493055555558</v>
      </c>
      <c r="E3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2" t="s">
        <v>0</v>
      </c>
      <c r="G302" s="2">
        <v>37.72</v>
      </c>
    </row>
    <row r="303" spans="1:7" x14ac:dyDescent="0.25">
      <c r="A3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240424-MOR002</v>
      </c>
      <c r="B303" s="1" t="str">
        <f>TEXT(Coffee_sales_clean[[#This Row],[Transaction Date]],"dddd")</f>
        <v>Wednesday</v>
      </c>
      <c r="C303" s="12">
        <v>45406</v>
      </c>
      <c r="D303" s="4">
        <v>0.43156582175925928</v>
      </c>
      <c r="E3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3" t="s">
        <v>3</v>
      </c>
      <c r="G303" s="2">
        <v>32.82</v>
      </c>
    </row>
    <row r="304" spans="1:7" x14ac:dyDescent="0.25">
      <c r="A3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240424-LUN001</v>
      </c>
      <c r="B304" s="1" t="str">
        <f>TEXT(Coffee_sales_clean[[#This Row],[Transaction Date]],"dddd")</f>
        <v>Wednesday</v>
      </c>
      <c r="C304" s="12">
        <v>45406</v>
      </c>
      <c r="D304" s="4">
        <v>0.47483914351851852</v>
      </c>
      <c r="E3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4" t="s">
        <v>3</v>
      </c>
      <c r="G304" s="2">
        <v>32.82</v>
      </c>
    </row>
    <row r="305" spans="1:7" x14ac:dyDescent="0.25">
      <c r="A3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240424-LUN002</v>
      </c>
      <c r="B305" s="1" t="str">
        <f>TEXT(Coffee_sales_clean[[#This Row],[Transaction Date]],"dddd")</f>
        <v>Wednesday</v>
      </c>
      <c r="C305" s="12">
        <v>45406</v>
      </c>
      <c r="D305" s="4">
        <v>0.48155494212962963</v>
      </c>
      <c r="E3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5" t="s">
        <v>3</v>
      </c>
      <c r="G305" s="2">
        <v>32.82</v>
      </c>
    </row>
    <row r="306" spans="1:7" x14ac:dyDescent="0.25">
      <c r="A3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240424-LUN003</v>
      </c>
      <c r="B306" s="1" t="str">
        <f>TEXT(Coffee_sales_clean[[#This Row],[Transaction Date]],"dddd")</f>
        <v>Wednesday</v>
      </c>
      <c r="C306" s="12">
        <v>45406</v>
      </c>
      <c r="D306" s="4">
        <v>0.52719094907407404</v>
      </c>
      <c r="E3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6" t="s">
        <v>3</v>
      </c>
      <c r="G306" s="2">
        <v>32.82</v>
      </c>
    </row>
    <row r="307" spans="1:7" x14ac:dyDescent="0.25">
      <c r="A3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240424-AFT001</v>
      </c>
      <c r="B307" s="1" t="str">
        <f>TEXT(Coffee_sales_clean[[#This Row],[Transaction Date]],"dddd")</f>
        <v>Wednesday</v>
      </c>
      <c r="C307" s="12">
        <v>45406</v>
      </c>
      <c r="D307" s="4">
        <v>0.69383591435185188</v>
      </c>
      <c r="E3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7" t="s">
        <v>3</v>
      </c>
      <c r="G307" s="2">
        <v>32.82</v>
      </c>
    </row>
    <row r="308" spans="1:7" x14ac:dyDescent="0.25">
      <c r="A3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240424-EVE001</v>
      </c>
      <c r="B308" s="1" t="str">
        <f>TEXT(Coffee_sales_clean[[#This Row],[Transaction Date]],"dddd")</f>
        <v>Wednesday</v>
      </c>
      <c r="C308" s="12">
        <v>45406</v>
      </c>
      <c r="D308" s="4">
        <v>0.81932850694444448</v>
      </c>
      <c r="E3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8" t="s">
        <v>3</v>
      </c>
      <c r="G308" s="2">
        <v>32.82</v>
      </c>
    </row>
    <row r="309" spans="1:7" x14ac:dyDescent="0.25">
      <c r="A3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240424-EVE002</v>
      </c>
      <c r="B309" s="1" t="str">
        <f>TEXT(Coffee_sales_clean[[#This Row],[Transaction Date]],"dddd")</f>
        <v>Wednesday</v>
      </c>
      <c r="C309" s="12">
        <v>45406</v>
      </c>
      <c r="D309" s="4">
        <v>0.82006980324074075</v>
      </c>
      <c r="E3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9" t="s">
        <v>7</v>
      </c>
      <c r="G309" s="2">
        <v>37.72</v>
      </c>
    </row>
    <row r="310" spans="1:7" x14ac:dyDescent="0.25">
      <c r="A3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240425-MOR001</v>
      </c>
      <c r="B310" s="1" t="str">
        <f>TEXT(Coffee_sales_clean[[#This Row],[Transaction Date]],"dddd")</f>
        <v>Thursday</v>
      </c>
      <c r="C310" s="12">
        <v>45407</v>
      </c>
      <c r="D310" s="4">
        <v>0.4487043634259259</v>
      </c>
      <c r="E3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0" t="s">
        <v>2</v>
      </c>
      <c r="G310" s="2">
        <v>27.92</v>
      </c>
    </row>
    <row r="311" spans="1:7" x14ac:dyDescent="0.25">
      <c r="A3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240425-AFT001</v>
      </c>
      <c r="B311" s="1" t="str">
        <f>TEXT(Coffee_sales_clean[[#This Row],[Transaction Date]],"dddd")</f>
        <v>Thursday</v>
      </c>
      <c r="C311" s="12">
        <v>45407</v>
      </c>
      <c r="D311" s="4">
        <v>0.63781216435185184</v>
      </c>
      <c r="E3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1" t="s">
        <v>0</v>
      </c>
      <c r="G311" s="2">
        <v>37.72</v>
      </c>
    </row>
    <row r="312" spans="1:7" x14ac:dyDescent="0.25">
      <c r="A3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240425-EVE001</v>
      </c>
      <c r="B312" s="1" t="str">
        <f>TEXT(Coffee_sales_clean[[#This Row],[Transaction Date]],"dddd")</f>
        <v>Thursday</v>
      </c>
      <c r="C312" s="12">
        <v>45407</v>
      </c>
      <c r="D312" s="4">
        <v>0.71508719907407403</v>
      </c>
      <c r="E3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2" t="s">
        <v>2</v>
      </c>
      <c r="G312" s="2">
        <v>27.92</v>
      </c>
    </row>
    <row r="313" spans="1:7" x14ac:dyDescent="0.25">
      <c r="A3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240425-EVE002</v>
      </c>
      <c r="B313" s="1" t="str">
        <f>TEXT(Coffee_sales_clean[[#This Row],[Transaction Date]],"dddd")</f>
        <v>Thursday</v>
      </c>
      <c r="C313" s="12">
        <v>45407</v>
      </c>
      <c r="D313" s="4">
        <v>0.71584667824074077</v>
      </c>
      <c r="E3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3" t="s">
        <v>2</v>
      </c>
      <c r="G313" s="2">
        <v>27.92</v>
      </c>
    </row>
    <row r="314" spans="1:7" x14ac:dyDescent="0.25">
      <c r="A3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240426-MOR001</v>
      </c>
      <c r="B314" s="1" t="str">
        <f>TEXT(Coffee_sales_clean[[#This Row],[Transaction Date]],"dddd")</f>
        <v>Friday</v>
      </c>
      <c r="C314" s="12">
        <v>45408</v>
      </c>
      <c r="D314" s="4">
        <v>0.42558585648148151</v>
      </c>
      <c r="E3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4" t="s">
        <v>0</v>
      </c>
      <c r="G314" s="2">
        <v>37.72</v>
      </c>
    </row>
    <row r="315" spans="1:7" x14ac:dyDescent="0.25">
      <c r="A3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240426-LUN001</v>
      </c>
      <c r="B315" s="1" t="str">
        <f>TEXT(Coffee_sales_clean[[#This Row],[Transaction Date]],"dddd")</f>
        <v>Friday</v>
      </c>
      <c r="C315" s="12">
        <v>45408</v>
      </c>
      <c r="D315" s="4">
        <v>0.50104837962962967</v>
      </c>
      <c r="E3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5" t="s">
        <v>0</v>
      </c>
      <c r="G315" s="2">
        <v>37.72</v>
      </c>
    </row>
    <row r="316" spans="1:7" x14ac:dyDescent="0.25">
      <c r="A3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240426-LUN002</v>
      </c>
      <c r="B316" s="1" t="str">
        <f>TEXT(Coffee_sales_clean[[#This Row],[Transaction Date]],"dddd")</f>
        <v>Friday</v>
      </c>
      <c r="C316" s="12">
        <v>45408</v>
      </c>
      <c r="D316" s="4">
        <v>0.56352195601851851</v>
      </c>
      <c r="E3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6" t="s">
        <v>7</v>
      </c>
      <c r="G316" s="2">
        <v>37.72</v>
      </c>
    </row>
    <row r="317" spans="1:7" x14ac:dyDescent="0.25">
      <c r="A3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240426-AFT001</v>
      </c>
      <c r="B317" s="1" t="str">
        <f>TEXT(Coffee_sales_clean[[#This Row],[Transaction Date]],"dddd")</f>
        <v>Friday</v>
      </c>
      <c r="C317" s="12">
        <v>45408</v>
      </c>
      <c r="D317" s="4">
        <v>0.64763182870370373</v>
      </c>
      <c r="E3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7" t="s">
        <v>2</v>
      </c>
      <c r="G317" s="2">
        <v>27.92</v>
      </c>
    </row>
    <row r="318" spans="1:7" x14ac:dyDescent="0.25">
      <c r="A3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240426-AFT002</v>
      </c>
      <c r="B318" s="1" t="str">
        <f>TEXT(Coffee_sales_clean[[#This Row],[Transaction Date]],"dddd")</f>
        <v>Friday</v>
      </c>
      <c r="C318" s="12">
        <v>45408</v>
      </c>
      <c r="D318" s="4">
        <v>0.64830013888888893</v>
      </c>
      <c r="E3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8" t="s">
        <v>2</v>
      </c>
      <c r="G318" s="2">
        <v>27.92</v>
      </c>
    </row>
    <row r="319" spans="1:7" x14ac:dyDescent="0.25">
      <c r="A3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240426-AFT003</v>
      </c>
      <c r="B319" s="1" t="str">
        <f>TEXT(Coffee_sales_clean[[#This Row],[Transaction Date]],"dddd")</f>
        <v>Friday</v>
      </c>
      <c r="C319" s="12">
        <v>45408</v>
      </c>
      <c r="D319" s="4">
        <v>0.68294576388888883</v>
      </c>
      <c r="E3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9" t="s">
        <v>5</v>
      </c>
      <c r="G319" s="2">
        <v>27.92</v>
      </c>
    </row>
    <row r="320" spans="1:7" x14ac:dyDescent="0.25">
      <c r="A3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240426-AFT004</v>
      </c>
      <c r="B320" s="1" t="str">
        <f>TEXT(Coffee_sales_clean[[#This Row],[Transaction Date]],"dddd")</f>
        <v>Friday</v>
      </c>
      <c r="C320" s="12">
        <v>45408</v>
      </c>
      <c r="D320" s="4">
        <v>0.68372453703703706</v>
      </c>
      <c r="E3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0" t="s">
        <v>2</v>
      </c>
      <c r="G320" s="2">
        <v>27.92</v>
      </c>
    </row>
    <row r="321" spans="1:7" x14ac:dyDescent="0.25">
      <c r="A3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240426-EVE001</v>
      </c>
      <c r="B321" s="1" t="str">
        <f>TEXT(Coffee_sales_clean[[#This Row],[Transaction Date]],"dddd")</f>
        <v>Friday</v>
      </c>
      <c r="C321" s="12">
        <v>45408</v>
      </c>
      <c r="D321" s="4">
        <v>0.81397120370370368</v>
      </c>
      <c r="E3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1" t="s">
        <v>1</v>
      </c>
      <c r="G321" s="2">
        <v>37.72</v>
      </c>
    </row>
    <row r="322" spans="1:7" x14ac:dyDescent="0.25">
      <c r="A3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240426-EVE002</v>
      </c>
      <c r="B322" s="1" t="str">
        <f>TEXT(Coffee_sales_clean[[#This Row],[Transaction Date]],"dddd")</f>
        <v>Friday</v>
      </c>
      <c r="C322" s="12">
        <v>45408</v>
      </c>
      <c r="D322" s="4">
        <v>0.81493310185185186</v>
      </c>
      <c r="E3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2" t="s">
        <v>4</v>
      </c>
      <c r="G322" s="2">
        <v>37.72</v>
      </c>
    </row>
    <row r="323" spans="1:7" x14ac:dyDescent="0.25">
      <c r="A3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240427-AFT001</v>
      </c>
      <c r="B323" s="1" t="str">
        <f>TEXT(Coffee_sales_clean[[#This Row],[Transaction Date]],"dddd")</f>
        <v>Saturday</v>
      </c>
      <c r="C323" s="12">
        <v>45409</v>
      </c>
      <c r="D323" s="4">
        <v>0.64375787037037036</v>
      </c>
      <c r="E3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3" t="s">
        <v>7</v>
      </c>
      <c r="G323" s="2">
        <v>37.72</v>
      </c>
    </row>
    <row r="324" spans="1:7" x14ac:dyDescent="0.25">
      <c r="A3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240428-MOR001</v>
      </c>
      <c r="B324" s="1" t="str">
        <f>TEXT(Coffee_sales_clean[[#This Row],[Transaction Date]],"dddd")</f>
        <v>Sunday</v>
      </c>
      <c r="C324" s="12">
        <v>45410</v>
      </c>
      <c r="D324" s="4">
        <v>0.43949628472222224</v>
      </c>
      <c r="E3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24" t="s">
        <v>0</v>
      </c>
      <c r="G324" s="2">
        <v>37.72</v>
      </c>
    </row>
    <row r="325" spans="1:7" x14ac:dyDescent="0.25">
      <c r="A3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240428-LUN001</v>
      </c>
      <c r="B325" s="1" t="str">
        <f>TEXT(Coffee_sales_clean[[#This Row],[Transaction Date]],"dddd")</f>
        <v>Sunday</v>
      </c>
      <c r="C325" s="12">
        <v>45410</v>
      </c>
      <c r="D325" s="4">
        <v>0.52094616898148149</v>
      </c>
      <c r="E3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25" t="s">
        <v>7</v>
      </c>
      <c r="G325" s="2">
        <v>37.72</v>
      </c>
    </row>
    <row r="326" spans="1:7" x14ac:dyDescent="0.25">
      <c r="A3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240428-EVE001</v>
      </c>
      <c r="B326" s="1" t="str">
        <f>TEXT(Coffee_sales_clean[[#This Row],[Transaction Date]],"dddd")</f>
        <v>Sunday</v>
      </c>
      <c r="C326" s="12">
        <v>45410</v>
      </c>
      <c r="D326" s="4">
        <v>0.7688452546296296</v>
      </c>
      <c r="E3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6" t="s">
        <v>2</v>
      </c>
      <c r="G326" s="2">
        <v>27.92</v>
      </c>
    </row>
    <row r="327" spans="1:7" x14ac:dyDescent="0.25">
      <c r="A3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240428-EVE002</v>
      </c>
      <c r="B327" s="1" t="str">
        <f>TEXT(Coffee_sales_clean[[#This Row],[Transaction Date]],"dddd")</f>
        <v>Sunday</v>
      </c>
      <c r="C327" s="12">
        <v>45410</v>
      </c>
      <c r="D327" s="4">
        <v>0.76957651620370371</v>
      </c>
      <c r="E3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7" t="s">
        <v>2</v>
      </c>
      <c r="G327" s="2">
        <v>27.92</v>
      </c>
    </row>
    <row r="328" spans="1:7" x14ac:dyDescent="0.25">
      <c r="A3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240428-EVE003</v>
      </c>
      <c r="B328" s="1" t="str">
        <f>TEXT(Coffee_sales_clean[[#This Row],[Transaction Date]],"dddd")</f>
        <v>Sunday</v>
      </c>
      <c r="C328" s="12">
        <v>45410</v>
      </c>
      <c r="D328" s="4">
        <v>0.77016636574074071</v>
      </c>
      <c r="E3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8" t="s">
        <v>0</v>
      </c>
      <c r="G328" s="2">
        <v>37.72</v>
      </c>
    </row>
    <row r="329" spans="1:7" x14ac:dyDescent="0.25">
      <c r="A3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240429-LUN001</v>
      </c>
      <c r="B329" s="1" t="str">
        <f>TEXT(Coffee_sales_clean[[#This Row],[Transaction Date]],"dddd")</f>
        <v>Monday</v>
      </c>
      <c r="C329" s="12">
        <v>45411</v>
      </c>
      <c r="D329" s="4">
        <v>0.47675776620370369</v>
      </c>
      <c r="E3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29" t="s">
        <v>5</v>
      </c>
      <c r="G329" s="2">
        <v>27.92</v>
      </c>
    </row>
    <row r="330" spans="1:7" x14ac:dyDescent="0.25">
      <c r="A3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240429-LUN002</v>
      </c>
      <c r="B330" s="1" t="str">
        <f>TEXT(Coffee_sales_clean[[#This Row],[Transaction Date]],"dddd")</f>
        <v>Monday</v>
      </c>
      <c r="C330" s="12">
        <v>45411</v>
      </c>
      <c r="D330" s="4">
        <v>0.56107579861111112</v>
      </c>
      <c r="E3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30" t="s">
        <v>2</v>
      </c>
      <c r="G330" s="2">
        <v>27.92</v>
      </c>
    </row>
    <row r="331" spans="1:7" x14ac:dyDescent="0.25">
      <c r="A3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240429-LUN003</v>
      </c>
      <c r="B331" s="1" t="str">
        <f>TEXT(Coffee_sales_clean[[#This Row],[Transaction Date]],"dddd")</f>
        <v>Monday</v>
      </c>
      <c r="C331" s="12">
        <v>45411</v>
      </c>
      <c r="D331" s="4">
        <v>0.5617349421296296</v>
      </c>
      <c r="E3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31" t="s">
        <v>5</v>
      </c>
      <c r="G331" s="2">
        <v>27.92</v>
      </c>
    </row>
    <row r="332" spans="1:7" x14ac:dyDescent="0.25">
      <c r="A3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240429-LUN004</v>
      </c>
      <c r="B332" s="1" t="str">
        <f>TEXT(Coffee_sales_clean[[#This Row],[Transaction Date]],"dddd")</f>
        <v>Monday</v>
      </c>
      <c r="C332" s="12">
        <v>45411</v>
      </c>
      <c r="D332" s="4">
        <v>0.5788857638888889</v>
      </c>
      <c r="E3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32" t="s">
        <v>5</v>
      </c>
      <c r="G332" s="2">
        <v>27.92</v>
      </c>
    </row>
    <row r="333" spans="1:7" x14ac:dyDescent="0.25">
      <c r="A3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240429-LUN005</v>
      </c>
      <c r="B333" s="1" t="str">
        <f>TEXT(Coffee_sales_clean[[#This Row],[Transaction Date]],"dddd")</f>
        <v>Monday</v>
      </c>
      <c r="C333" s="12">
        <v>45411</v>
      </c>
      <c r="D333" s="4">
        <v>0.57944857638888891</v>
      </c>
      <c r="E3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33" t="s">
        <v>3</v>
      </c>
      <c r="G333" s="2">
        <v>32.82</v>
      </c>
    </row>
    <row r="334" spans="1:7" x14ac:dyDescent="0.25">
      <c r="A3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240429-EVE001</v>
      </c>
      <c r="B334" s="1" t="str">
        <f>TEXT(Coffee_sales_clean[[#This Row],[Transaction Date]],"dddd")</f>
        <v>Monday</v>
      </c>
      <c r="C334" s="12">
        <v>45411</v>
      </c>
      <c r="D334" s="4">
        <v>0.77625469907407407</v>
      </c>
      <c r="E3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34" t="s">
        <v>7</v>
      </c>
      <c r="G334" s="2">
        <v>37.72</v>
      </c>
    </row>
    <row r="335" spans="1:7" x14ac:dyDescent="0.25">
      <c r="A3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240429-EVE002</v>
      </c>
      <c r="B335" s="1" t="str">
        <f>TEXT(Coffee_sales_clean[[#This Row],[Transaction Date]],"dddd")</f>
        <v>Monday</v>
      </c>
      <c r="C335" s="12">
        <v>45411</v>
      </c>
      <c r="D335" s="4">
        <v>0.80038418981481485</v>
      </c>
      <c r="E3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35" t="s">
        <v>7</v>
      </c>
      <c r="G335" s="2">
        <v>37.72</v>
      </c>
    </row>
    <row r="336" spans="1:7" x14ac:dyDescent="0.25">
      <c r="A3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240429-EVE003</v>
      </c>
      <c r="B336" s="1" t="str">
        <f>TEXT(Coffee_sales_clean[[#This Row],[Transaction Date]],"dddd")</f>
        <v>Monday</v>
      </c>
      <c r="C336" s="12">
        <v>45411</v>
      </c>
      <c r="D336" s="4">
        <v>0.80113284722222222</v>
      </c>
      <c r="E3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36" t="s">
        <v>7</v>
      </c>
      <c r="G336" s="2">
        <v>37.72</v>
      </c>
    </row>
    <row r="337" spans="1:7" x14ac:dyDescent="0.25">
      <c r="A3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240430-MOR001</v>
      </c>
      <c r="B337" s="1" t="str">
        <f>TEXT(Coffee_sales_clean[[#This Row],[Transaction Date]],"dddd")</f>
        <v>Tuesday</v>
      </c>
      <c r="C337" s="12">
        <v>45412</v>
      </c>
      <c r="D337" s="4">
        <v>0.42825802083333331</v>
      </c>
      <c r="E3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37" t="s">
        <v>0</v>
      </c>
      <c r="G337" s="2">
        <v>37.72</v>
      </c>
    </row>
    <row r="338" spans="1:7" x14ac:dyDescent="0.25">
      <c r="A3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240430-MOR002</v>
      </c>
      <c r="B338" s="1" t="str">
        <f>TEXT(Coffee_sales_clean[[#This Row],[Transaction Date]],"dddd")</f>
        <v>Tuesday</v>
      </c>
      <c r="C338" s="12">
        <v>45412</v>
      </c>
      <c r="D338" s="4">
        <v>0.44088252314814813</v>
      </c>
      <c r="E3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38" t="s">
        <v>3</v>
      </c>
      <c r="G338" s="2">
        <v>32.82</v>
      </c>
    </row>
    <row r="339" spans="1:7" x14ac:dyDescent="0.25">
      <c r="A3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240430-MOR003</v>
      </c>
      <c r="B339" s="1" t="str">
        <f>TEXT(Coffee_sales_clean[[#This Row],[Transaction Date]],"dddd")</f>
        <v>Tuesday</v>
      </c>
      <c r="C339" s="12">
        <v>45412</v>
      </c>
      <c r="D339" s="4">
        <v>0.44152334490740741</v>
      </c>
      <c r="E3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39" t="s">
        <v>3</v>
      </c>
      <c r="G339" s="2">
        <v>32.82</v>
      </c>
    </row>
    <row r="340" spans="1:7" x14ac:dyDescent="0.25">
      <c r="A3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240430-LUN001</v>
      </c>
      <c r="B340" s="1" t="str">
        <f>TEXT(Coffee_sales_clean[[#This Row],[Transaction Date]],"dddd")</f>
        <v>Tuesday</v>
      </c>
      <c r="C340" s="12">
        <v>45412</v>
      </c>
      <c r="D340" s="4">
        <v>0.57074450231481477</v>
      </c>
      <c r="E3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40" t="s">
        <v>2</v>
      </c>
      <c r="G340" s="2">
        <v>27.92</v>
      </c>
    </row>
    <row r="341" spans="1:7" x14ac:dyDescent="0.25">
      <c r="A3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240430-LUN002</v>
      </c>
      <c r="B341" s="1" t="str">
        <f>TEXT(Coffee_sales_clean[[#This Row],[Transaction Date]],"dddd")</f>
        <v>Tuesday</v>
      </c>
      <c r="C341" s="12">
        <v>45412</v>
      </c>
      <c r="D341" s="4">
        <v>0.57152751157407411</v>
      </c>
      <c r="E3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41" t="s">
        <v>3</v>
      </c>
      <c r="G341" s="2">
        <v>32.82</v>
      </c>
    </row>
    <row r="342" spans="1:7" x14ac:dyDescent="0.25">
      <c r="A3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240430-EVE001</v>
      </c>
      <c r="B342" s="1" t="str">
        <f>TEXT(Coffee_sales_clean[[#This Row],[Transaction Date]],"dddd")</f>
        <v>Tuesday</v>
      </c>
      <c r="C342" s="12">
        <v>45412</v>
      </c>
      <c r="D342" s="4">
        <v>0.80507105324074069</v>
      </c>
      <c r="E3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42" t="s">
        <v>7</v>
      </c>
      <c r="G342" s="2">
        <v>37.72</v>
      </c>
    </row>
    <row r="343" spans="1:7" x14ac:dyDescent="0.25">
      <c r="A3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240430-EVE002</v>
      </c>
      <c r="B343" s="1" t="str">
        <f>TEXT(Coffee_sales_clean[[#This Row],[Transaction Date]],"dddd")</f>
        <v>Tuesday</v>
      </c>
      <c r="C343" s="12">
        <v>45412</v>
      </c>
      <c r="D343" s="4">
        <v>0.81254633101851848</v>
      </c>
      <c r="E3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43" t="s">
        <v>3</v>
      </c>
      <c r="G343" s="2">
        <v>32.82</v>
      </c>
    </row>
    <row r="344" spans="1:7" x14ac:dyDescent="0.25">
      <c r="A3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240430-EVE003</v>
      </c>
      <c r="B344" s="1" t="str">
        <f>TEXT(Coffee_sales_clean[[#This Row],[Transaction Date]],"dddd")</f>
        <v>Tuesday</v>
      </c>
      <c r="C344" s="12">
        <v>45412</v>
      </c>
      <c r="D344" s="4">
        <v>0.81343694444444448</v>
      </c>
      <c r="E3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44" t="s">
        <v>0</v>
      </c>
      <c r="G344" s="2">
        <v>37.72</v>
      </c>
    </row>
    <row r="345" spans="1:7" x14ac:dyDescent="0.25">
      <c r="A3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240502-MOR001</v>
      </c>
      <c r="B345" s="1" t="str">
        <f>TEXT(Coffee_sales_clean[[#This Row],[Transaction Date]],"dddd")</f>
        <v>Thursday</v>
      </c>
      <c r="C345" s="12">
        <v>45414</v>
      </c>
      <c r="D345" s="4">
        <v>0.44022854166666664</v>
      </c>
      <c r="E3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45" t="s">
        <v>2</v>
      </c>
      <c r="G345" s="2">
        <v>27.92</v>
      </c>
    </row>
    <row r="346" spans="1:7" x14ac:dyDescent="0.25">
      <c r="A3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240502-LUN001</v>
      </c>
      <c r="B346" s="1" t="str">
        <f>TEXT(Coffee_sales_clean[[#This Row],[Transaction Date]],"dddd")</f>
        <v>Thursday</v>
      </c>
      <c r="C346" s="12">
        <v>45414</v>
      </c>
      <c r="D346" s="4">
        <v>0.57615622685185186</v>
      </c>
      <c r="E3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46" t="s">
        <v>3</v>
      </c>
      <c r="G346" s="2">
        <v>32.82</v>
      </c>
    </row>
    <row r="347" spans="1:7" x14ac:dyDescent="0.25">
      <c r="A3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240502-EVE001</v>
      </c>
      <c r="B347" s="1" t="str">
        <f>TEXT(Coffee_sales_clean[[#This Row],[Transaction Date]],"dddd")</f>
        <v>Thursday</v>
      </c>
      <c r="C347" s="12">
        <v>45414</v>
      </c>
      <c r="D347" s="4">
        <v>0.7752562268518518</v>
      </c>
      <c r="E3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47" t="s">
        <v>7</v>
      </c>
      <c r="G347" s="2">
        <v>37.72</v>
      </c>
    </row>
    <row r="348" spans="1:7" x14ac:dyDescent="0.25">
      <c r="A3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240502-EVE002</v>
      </c>
      <c r="B348" s="1" t="str">
        <f>TEXT(Coffee_sales_clean[[#This Row],[Transaction Date]],"dddd")</f>
        <v>Thursday</v>
      </c>
      <c r="C348" s="12">
        <v>45414</v>
      </c>
      <c r="D348" s="4">
        <v>0.77860208333333336</v>
      </c>
      <c r="E3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48" t="s">
        <v>3</v>
      </c>
      <c r="G348" s="2">
        <v>32.82</v>
      </c>
    </row>
    <row r="349" spans="1:7" x14ac:dyDescent="0.25">
      <c r="A3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240502-EVE003</v>
      </c>
      <c r="B349" s="1" t="str">
        <f>TEXT(Coffee_sales_clean[[#This Row],[Transaction Date]],"dddd")</f>
        <v>Thursday</v>
      </c>
      <c r="C349" s="12">
        <v>45414</v>
      </c>
      <c r="D349" s="4">
        <v>0.80454958333333337</v>
      </c>
      <c r="E3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49" t="s">
        <v>0</v>
      </c>
      <c r="G349" s="2">
        <v>37.72</v>
      </c>
    </row>
    <row r="350" spans="1:7" x14ac:dyDescent="0.25">
      <c r="A3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240502-EVE004</v>
      </c>
      <c r="B350" s="1" t="str">
        <f>TEXT(Coffee_sales_clean[[#This Row],[Transaction Date]],"dddd")</f>
        <v>Thursday</v>
      </c>
      <c r="C350" s="12">
        <v>45414</v>
      </c>
      <c r="D350" s="4">
        <v>0.80551341435185186</v>
      </c>
      <c r="E3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50" t="s">
        <v>7</v>
      </c>
      <c r="G350" s="2">
        <v>37.72</v>
      </c>
    </row>
    <row r="351" spans="1:7" x14ac:dyDescent="0.25">
      <c r="A3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240503-AFT001</v>
      </c>
      <c r="B351" s="1" t="str">
        <f>TEXT(Coffee_sales_clean[[#This Row],[Transaction Date]],"dddd")</f>
        <v>Friday</v>
      </c>
      <c r="C351" s="12">
        <v>45415</v>
      </c>
      <c r="D351" s="4">
        <v>0.60417734953703706</v>
      </c>
      <c r="E3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51" t="s">
        <v>0</v>
      </c>
      <c r="G351" s="2">
        <v>37.72</v>
      </c>
    </row>
    <row r="352" spans="1:7" x14ac:dyDescent="0.25">
      <c r="A3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240503-EVE001</v>
      </c>
      <c r="B352" s="1" t="str">
        <f>TEXT(Coffee_sales_clean[[#This Row],[Transaction Date]],"dddd")</f>
        <v>Friday</v>
      </c>
      <c r="C352" s="12">
        <v>45415</v>
      </c>
      <c r="D352" s="4">
        <v>0.71070491898148147</v>
      </c>
      <c r="E3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52" t="s">
        <v>0</v>
      </c>
      <c r="G352" s="2">
        <v>37.72</v>
      </c>
    </row>
    <row r="353" spans="1:7" x14ac:dyDescent="0.25">
      <c r="A3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240506-MOR001</v>
      </c>
      <c r="B353" s="1" t="str">
        <f>TEXT(Coffee_sales_clean[[#This Row],[Transaction Date]],"dddd")</f>
        <v>Monday</v>
      </c>
      <c r="C353" s="12">
        <v>45418</v>
      </c>
      <c r="D353" s="4">
        <v>0.42034629629629627</v>
      </c>
      <c r="E3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53" t="s">
        <v>2</v>
      </c>
      <c r="G353" s="2">
        <v>27.92</v>
      </c>
    </row>
    <row r="354" spans="1:7" x14ac:dyDescent="0.25">
      <c r="A3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240506-MOR002</v>
      </c>
      <c r="B354" s="1" t="str">
        <f>TEXT(Coffee_sales_clean[[#This Row],[Transaction Date]],"dddd")</f>
        <v>Monday</v>
      </c>
      <c r="C354" s="12">
        <v>45418</v>
      </c>
      <c r="D354" s="4">
        <v>0.4214308449074074</v>
      </c>
      <c r="E3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54" t="s">
        <v>7</v>
      </c>
      <c r="G354" s="2">
        <v>37.72</v>
      </c>
    </row>
    <row r="355" spans="1:7" x14ac:dyDescent="0.25">
      <c r="A3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240506-MOR003</v>
      </c>
      <c r="B355" s="1" t="str">
        <f>TEXT(Coffee_sales_clean[[#This Row],[Transaction Date]],"dddd")</f>
        <v>Monday</v>
      </c>
      <c r="C355" s="12">
        <v>45418</v>
      </c>
      <c r="D355" s="4">
        <v>0.4222900810185185</v>
      </c>
      <c r="E3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55" t="s">
        <v>3</v>
      </c>
      <c r="G355" s="2">
        <v>32.82</v>
      </c>
    </row>
    <row r="356" spans="1:7" x14ac:dyDescent="0.25">
      <c r="A3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240506-MOR004</v>
      </c>
      <c r="B356" s="1" t="str">
        <f>TEXT(Coffee_sales_clean[[#This Row],[Transaction Date]],"dddd")</f>
        <v>Monday</v>
      </c>
      <c r="C356" s="12">
        <v>45418</v>
      </c>
      <c r="D356" s="4">
        <v>0.42300899305555556</v>
      </c>
      <c r="E3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56" t="s">
        <v>2</v>
      </c>
      <c r="G356" s="2">
        <v>27.92</v>
      </c>
    </row>
    <row r="357" spans="1:7" x14ac:dyDescent="0.25">
      <c r="A3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240506-MOR005</v>
      </c>
      <c r="B357" s="1" t="str">
        <f>TEXT(Coffee_sales_clean[[#This Row],[Transaction Date]],"dddd")</f>
        <v>Monday</v>
      </c>
      <c r="C357" s="12">
        <v>45418</v>
      </c>
      <c r="D357" s="4">
        <v>0.44389630787037038</v>
      </c>
      <c r="E3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57" t="s">
        <v>5</v>
      </c>
      <c r="G357" s="2">
        <v>27.92</v>
      </c>
    </row>
    <row r="358" spans="1:7" x14ac:dyDescent="0.25">
      <c r="A3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240506-LUN001</v>
      </c>
      <c r="B358" s="1" t="str">
        <f>TEXT(Coffee_sales_clean[[#This Row],[Transaction Date]],"dddd")</f>
        <v>Monday</v>
      </c>
      <c r="C358" s="12">
        <v>45418</v>
      </c>
      <c r="D358" s="4">
        <v>0.55429386574074069</v>
      </c>
      <c r="E3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58" t="s">
        <v>5</v>
      </c>
      <c r="G358" s="2">
        <v>27.92</v>
      </c>
    </row>
    <row r="359" spans="1:7" x14ac:dyDescent="0.25">
      <c r="A3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240506-LUN002</v>
      </c>
      <c r="B359" s="1" t="str">
        <f>TEXT(Coffee_sales_clean[[#This Row],[Transaction Date]],"dddd")</f>
        <v>Monday</v>
      </c>
      <c r="C359" s="12">
        <v>45418</v>
      </c>
      <c r="D359" s="4">
        <v>0.55487049768518515</v>
      </c>
      <c r="E3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59" t="s">
        <v>2</v>
      </c>
      <c r="G359" s="2">
        <v>27.92</v>
      </c>
    </row>
    <row r="360" spans="1:7" x14ac:dyDescent="0.25">
      <c r="A3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240506-EVE001</v>
      </c>
      <c r="B360" s="1" t="str">
        <f>TEXT(Coffee_sales_clean[[#This Row],[Transaction Date]],"dddd")</f>
        <v>Monday</v>
      </c>
      <c r="C360" s="12">
        <v>45418</v>
      </c>
      <c r="D360" s="4">
        <v>0.80431700231481484</v>
      </c>
      <c r="E3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60" t="s">
        <v>7</v>
      </c>
      <c r="G360" s="2">
        <v>37.72</v>
      </c>
    </row>
    <row r="361" spans="1:7" x14ac:dyDescent="0.25">
      <c r="A3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240506-EVE002</v>
      </c>
      <c r="B361" s="1" t="str">
        <f>TEXT(Coffee_sales_clean[[#This Row],[Transaction Date]],"dddd")</f>
        <v>Monday</v>
      </c>
      <c r="C361" s="12">
        <v>45418</v>
      </c>
      <c r="D361" s="4">
        <v>0.80543458333333329</v>
      </c>
      <c r="E3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61" t="s">
        <v>7</v>
      </c>
      <c r="G361" s="2">
        <v>37.72</v>
      </c>
    </row>
    <row r="362" spans="1:7" x14ac:dyDescent="0.25">
      <c r="A3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240507-MOR001</v>
      </c>
      <c r="B362" s="1" t="str">
        <f>TEXT(Coffee_sales_clean[[#This Row],[Transaction Date]],"dddd")</f>
        <v>Tuesday</v>
      </c>
      <c r="C362" s="12">
        <v>45419</v>
      </c>
      <c r="D362" s="4">
        <v>0.4478655324074074</v>
      </c>
      <c r="E3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62" t="s">
        <v>4</v>
      </c>
      <c r="G362" s="2">
        <v>37.72</v>
      </c>
    </row>
    <row r="363" spans="1:7" x14ac:dyDescent="0.25">
      <c r="A3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240507-LUN001</v>
      </c>
      <c r="B363" s="1" t="str">
        <f>TEXT(Coffee_sales_clean[[#This Row],[Transaction Date]],"dddd")</f>
        <v>Tuesday</v>
      </c>
      <c r="C363" s="12">
        <v>45419</v>
      </c>
      <c r="D363" s="4">
        <v>0.47359366898148147</v>
      </c>
      <c r="E3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63" t="s">
        <v>5</v>
      </c>
      <c r="G363" s="2">
        <v>27.92</v>
      </c>
    </row>
    <row r="364" spans="1:7" x14ac:dyDescent="0.25">
      <c r="A3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240507-LUN002</v>
      </c>
      <c r="B364" s="1" t="str">
        <f>TEXT(Coffee_sales_clean[[#This Row],[Transaction Date]],"dddd")</f>
        <v>Tuesday</v>
      </c>
      <c r="C364" s="12">
        <v>45419</v>
      </c>
      <c r="D364" s="4">
        <v>0.5580433217592593</v>
      </c>
      <c r="E3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64" t="s">
        <v>5</v>
      </c>
      <c r="G364" s="2">
        <v>27.92</v>
      </c>
    </row>
    <row r="365" spans="1:7" x14ac:dyDescent="0.25">
      <c r="A3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240507-AFT001</v>
      </c>
      <c r="B365" s="1" t="str">
        <f>TEXT(Coffee_sales_clean[[#This Row],[Transaction Date]],"dddd")</f>
        <v>Tuesday</v>
      </c>
      <c r="C365" s="12">
        <v>45419</v>
      </c>
      <c r="D365" s="4">
        <v>0.69592476851851848</v>
      </c>
      <c r="E3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65" t="s">
        <v>4</v>
      </c>
      <c r="G365" s="2">
        <v>37.72</v>
      </c>
    </row>
    <row r="366" spans="1:7" x14ac:dyDescent="0.25">
      <c r="A3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240507-AFT002</v>
      </c>
      <c r="B366" s="1" t="str">
        <f>TEXT(Coffee_sales_clean[[#This Row],[Transaction Date]],"dddd")</f>
        <v>Tuesday</v>
      </c>
      <c r="C366" s="12">
        <v>45419</v>
      </c>
      <c r="D366" s="4">
        <v>0.70531024305555556</v>
      </c>
      <c r="E3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66" t="s">
        <v>2</v>
      </c>
      <c r="G366" s="2">
        <v>27.92</v>
      </c>
    </row>
    <row r="367" spans="1:7" x14ac:dyDescent="0.25">
      <c r="A3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240507-EVE001</v>
      </c>
      <c r="B367" s="1" t="str">
        <f>TEXT(Coffee_sales_clean[[#This Row],[Transaction Date]],"dddd")</f>
        <v>Tuesday</v>
      </c>
      <c r="C367" s="12">
        <v>45419</v>
      </c>
      <c r="D367" s="4">
        <v>0.73456495370370367</v>
      </c>
      <c r="E3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67" t="s">
        <v>7</v>
      </c>
      <c r="G367" s="2">
        <v>37.72</v>
      </c>
    </row>
    <row r="368" spans="1:7" x14ac:dyDescent="0.25">
      <c r="A3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240507-EVE002</v>
      </c>
      <c r="B368" s="1" t="str">
        <f>TEXT(Coffee_sales_clean[[#This Row],[Transaction Date]],"dddd")</f>
        <v>Tuesday</v>
      </c>
      <c r="C368" s="12">
        <v>45419</v>
      </c>
      <c r="D368" s="4">
        <v>0.73528003472222225</v>
      </c>
      <c r="E3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68" t="s">
        <v>0</v>
      </c>
      <c r="G368" s="2">
        <v>37.72</v>
      </c>
    </row>
    <row r="369" spans="1:7" x14ac:dyDescent="0.25">
      <c r="A3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240507-EVE003</v>
      </c>
      <c r="B369" s="1" t="str">
        <f>TEXT(Coffee_sales_clean[[#This Row],[Transaction Date]],"dddd")</f>
        <v>Tuesday</v>
      </c>
      <c r="C369" s="12">
        <v>45419</v>
      </c>
      <c r="D369" s="4">
        <v>0.80014495370370375</v>
      </c>
      <c r="E3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69" t="s">
        <v>7</v>
      </c>
      <c r="G369" s="2">
        <v>37.72</v>
      </c>
    </row>
    <row r="370" spans="1:7" x14ac:dyDescent="0.25">
      <c r="A3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240507-EVE004</v>
      </c>
      <c r="B370" s="1" t="str">
        <f>TEXT(Coffee_sales_clean[[#This Row],[Transaction Date]],"dddd")</f>
        <v>Tuesday</v>
      </c>
      <c r="C370" s="12">
        <v>45419</v>
      </c>
      <c r="D370" s="4">
        <v>0.80083559027777773</v>
      </c>
      <c r="E3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70" t="s">
        <v>7</v>
      </c>
      <c r="G370" s="2">
        <v>37.72</v>
      </c>
    </row>
    <row r="371" spans="1:7" x14ac:dyDescent="0.25">
      <c r="A3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240508-MOR001</v>
      </c>
      <c r="B371" s="1" t="str">
        <f>TEXT(Coffee_sales_clean[[#This Row],[Transaction Date]],"dddd")</f>
        <v>Wednesday</v>
      </c>
      <c r="C371" s="12">
        <v>45420</v>
      </c>
      <c r="D371" s="4">
        <v>0.42186184027777779</v>
      </c>
      <c r="E3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71" t="s">
        <v>0</v>
      </c>
      <c r="G371" s="2">
        <v>37.72</v>
      </c>
    </row>
    <row r="372" spans="1:7" x14ac:dyDescent="0.25">
      <c r="A3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240509-LUN001</v>
      </c>
      <c r="B372" s="1" t="str">
        <f>TEXT(Coffee_sales_clean[[#This Row],[Transaction Date]],"dddd")</f>
        <v>Thursday</v>
      </c>
      <c r="C372" s="12">
        <v>45421</v>
      </c>
      <c r="D372" s="4">
        <v>0.53775245370370373</v>
      </c>
      <c r="E3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72" t="s">
        <v>7</v>
      </c>
      <c r="G372" s="2">
        <v>37.72</v>
      </c>
    </row>
    <row r="373" spans="1:7" x14ac:dyDescent="0.25">
      <c r="A3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240509-LUN002</v>
      </c>
      <c r="B373" s="1" t="str">
        <f>TEXT(Coffee_sales_clean[[#This Row],[Transaction Date]],"dddd")</f>
        <v>Thursday</v>
      </c>
      <c r="C373" s="12">
        <v>45421</v>
      </c>
      <c r="D373" s="4">
        <v>0.54442773148148149</v>
      </c>
      <c r="E3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73" t="s">
        <v>2</v>
      </c>
      <c r="G373" s="2">
        <v>27.92</v>
      </c>
    </row>
    <row r="374" spans="1:7" x14ac:dyDescent="0.25">
      <c r="A3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240509-LUN003</v>
      </c>
      <c r="B374" s="1" t="str">
        <f>TEXT(Coffee_sales_clean[[#This Row],[Transaction Date]],"dddd")</f>
        <v>Thursday</v>
      </c>
      <c r="C374" s="12">
        <v>45421</v>
      </c>
      <c r="D374" s="4">
        <v>0.54511165509259263</v>
      </c>
      <c r="E3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74" t="s">
        <v>0</v>
      </c>
      <c r="G374" s="2">
        <v>37.72</v>
      </c>
    </row>
    <row r="375" spans="1:7" x14ac:dyDescent="0.25">
      <c r="A3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240509-LUN004</v>
      </c>
      <c r="B375" s="1" t="str">
        <f>TEXT(Coffee_sales_clean[[#This Row],[Transaction Date]],"dddd")</f>
        <v>Thursday</v>
      </c>
      <c r="C375" s="12">
        <v>45421</v>
      </c>
      <c r="D375" s="4">
        <v>0.54596366898148152</v>
      </c>
      <c r="E3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75" t="s">
        <v>0</v>
      </c>
      <c r="G375" s="2">
        <v>37.72</v>
      </c>
    </row>
    <row r="376" spans="1:7" x14ac:dyDescent="0.25">
      <c r="A3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240509-LUN005</v>
      </c>
      <c r="B376" s="1" t="str">
        <f>TEXT(Coffee_sales_clean[[#This Row],[Transaction Date]],"dddd")</f>
        <v>Thursday</v>
      </c>
      <c r="C376" s="12">
        <v>45421</v>
      </c>
      <c r="D376" s="4">
        <v>0.5467176967592593</v>
      </c>
      <c r="E3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76" t="s">
        <v>0</v>
      </c>
      <c r="G376" s="2">
        <v>37.72</v>
      </c>
    </row>
    <row r="377" spans="1:7" x14ac:dyDescent="0.25">
      <c r="A3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240509-AFT001</v>
      </c>
      <c r="B377" s="1" t="str">
        <f>TEXT(Coffee_sales_clean[[#This Row],[Transaction Date]],"dddd")</f>
        <v>Thursday</v>
      </c>
      <c r="C377" s="12">
        <v>45421</v>
      </c>
      <c r="D377" s="4">
        <v>0.70503010416666667</v>
      </c>
      <c r="E3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77" t="s">
        <v>2</v>
      </c>
      <c r="G377" s="2">
        <v>27.92</v>
      </c>
    </row>
    <row r="378" spans="1:7" x14ac:dyDescent="0.25">
      <c r="A3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240509-AFT002</v>
      </c>
      <c r="B378" s="1" t="str">
        <f>TEXT(Coffee_sales_clean[[#This Row],[Transaction Date]],"dddd")</f>
        <v>Thursday</v>
      </c>
      <c r="C378" s="12">
        <v>45421</v>
      </c>
      <c r="D378" s="4">
        <v>0.70572903935185183</v>
      </c>
      <c r="E3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78" t="s">
        <v>2</v>
      </c>
      <c r="G378" s="2">
        <v>27.92</v>
      </c>
    </row>
    <row r="379" spans="1:7" x14ac:dyDescent="0.25">
      <c r="A3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240509-EVE001</v>
      </c>
      <c r="B379" s="1" t="str">
        <f>TEXT(Coffee_sales_clean[[#This Row],[Transaction Date]],"dddd")</f>
        <v>Thursday</v>
      </c>
      <c r="C379" s="12">
        <v>45421</v>
      </c>
      <c r="D379" s="4">
        <v>0.75104045138888886</v>
      </c>
      <c r="E3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79" t="s">
        <v>2</v>
      </c>
      <c r="G379" s="2">
        <v>27.92</v>
      </c>
    </row>
    <row r="380" spans="1:7" x14ac:dyDescent="0.25">
      <c r="A3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240509-EVE002</v>
      </c>
      <c r="B380" s="1" t="str">
        <f>TEXT(Coffee_sales_clean[[#This Row],[Transaction Date]],"dddd")</f>
        <v>Thursday</v>
      </c>
      <c r="C380" s="12">
        <v>45421</v>
      </c>
      <c r="D380" s="4">
        <v>0.75967854166666671</v>
      </c>
      <c r="E3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80" t="s">
        <v>3</v>
      </c>
      <c r="G380" s="2">
        <v>32.82</v>
      </c>
    </row>
    <row r="381" spans="1:7" x14ac:dyDescent="0.25">
      <c r="A3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240510-AFT001</v>
      </c>
      <c r="B381" s="1" t="str">
        <f>TEXT(Coffee_sales_clean[[#This Row],[Transaction Date]],"dddd")</f>
        <v>Friday</v>
      </c>
      <c r="C381" s="12">
        <v>45422</v>
      </c>
      <c r="D381" s="4">
        <v>0.65719341435185186</v>
      </c>
      <c r="E3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81" t="s">
        <v>0</v>
      </c>
      <c r="G381" s="2">
        <v>37.72</v>
      </c>
    </row>
    <row r="382" spans="1:7" x14ac:dyDescent="0.25">
      <c r="A3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240510-AFT002</v>
      </c>
      <c r="B382" s="1" t="str">
        <f>TEXT(Coffee_sales_clean[[#This Row],[Transaction Date]],"dddd")</f>
        <v>Friday</v>
      </c>
      <c r="C382" s="12">
        <v>45422</v>
      </c>
      <c r="D382" s="4">
        <v>0.65801513888888885</v>
      </c>
      <c r="E3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82" t="s">
        <v>0</v>
      </c>
      <c r="G382" s="2">
        <v>37.72</v>
      </c>
    </row>
    <row r="383" spans="1:7" x14ac:dyDescent="0.25">
      <c r="A3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240511-LUN001</v>
      </c>
      <c r="B383" s="1" t="str">
        <f>TEXT(Coffee_sales_clean[[#This Row],[Transaction Date]],"dddd")</f>
        <v>Saturday</v>
      </c>
      <c r="C383" s="12">
        <v>45423</v>
      </c>
      <c r="D383" s="4">
        <v>0.48602868055555554</v>
      </c>
      <c r="E3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83" t="s">
        <v>0</v>
      </c>
      <c r="G383" s="2">
        <v>37.72</v>
      </c>
    </row>
    <row r="384" spans="1:7" x14ac:dyDescent="0.25">
      <c r="A3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240511-EVE001</v>
      </c>
      <c r="B384" s="1" t="str">
        <f>TEXT(Coffee_sales_clean[[#This Row],[Transaction Date]],"dddd")</f>
        <v>Saturday</v>
      </c>
      <c r="C384" s="12">
        <v>45423</v>
      </c>
      <c r="D384" s="4">
        <v>0.72257405092592597</v>
      </c>
      <c r="E3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84" t="s">
        <v>3</v>
      </c>
      <c r="G384" s="2">
        <v>32.82</v>
      </c>
    </row>
    <row r="385" spans="1:7" x14ac:dyDescent="0.25">
      <c r="A3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240511-EVE002</v>
      </c>
      <c r="B385" s="1" t="str">
        <f>TEXT(Coffee_sales_clean[[#This Row],[Transaction Date]],"dddd")</f>
        <v>Saturday</v>
      </c>
      <c r="C385" s="12">
        <v>45423</v>
      </c>
      <c r="D385" s="4">
        <v>0.72356616898148152</v>
      </c>
      <c r="E3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85" t="s">
        <v>4</v>
      </c>
      <c r="G385" s="2">
        <v>37.72</v>
      </c>
    </row>
    <row r="386" spans="1:7" x14ac:dyDescent="0.25">
      <c r="A3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240511-EVE003</v>
      </c>
      <c r="B386" s="1" t="str">
        <f>TEXT(Coffee_sales_clean[[#This Row],[Transaction Date]],"dddd")</f>
        <v>Saturday</v>
      </c>
      <c r="C386" s="12">
        <v>45423</v>
      </c>
      <c r="D386" s="4">
        <v>0.72496876157407408</v>
      </c>
      <c r="E3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86" t="s">
        <v>7</v>
      </c>
      <c r="G386" s="2">
        <v>37.72</v>
      </c>
    </row>
    <row r="387" spans="1:7" x14ac:dyDescent="0.25">
      <c r="A3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240511-EVE004</v>
      </c>
      <c r="B387" s="1" t="str">
        <f>TEXT(Coffee_sales_clean[[#This Row],[Transaction Date]],"dddd")</f>
        <v>Saturday</v>
      </c>
      <c r="C387" s="12">
        <v>45423</v>
      </c>
      <c r="D387" s="4">
        <v>0.72840430555555558</v>
      </c>
      <c r="E3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87" t="s">
        <v>3</v>
      </c>
      <c r="G387" s="2">
        <v>32.82</v>
      </c>
    </row>
    <row r="388" spans="1:7" x14ac:dyDescent="0.25">
      <c r="A3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240511-EVE005</v>
      </c>
      <c r="B388" s="1" t="str">
        <f>TEXT(Coffee_sales_clean[[#This Row],[Transaction Date]],"dddd")</f>
        <v>Saturday</v>
      </c>
      <c r="C388" s="12">
        <v>45423</v>
      </c>
      <c r="D388" s="4">
        <v>0.77477149305555559</v>
      </c>
      <c r="E3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88" t="s">
        <v>7</v>
      </c>
      <c r="G388" s="2">
        <v>37.72</v>
      </c>
    </row>
    <row r="389" spans="1:7" x14ac:dyDescent="0.25">
      <c r="A3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240511-EVE006</v>
      </c>
      <c r="B389" s="1" t="str">
        <f>TEXT(Coffee_sales_clean[[#This Row],[Transaction Date]],"dddd")</f>
        <v>Saturday</v>
      </c>
      <c r="C389" s="12">
        <v>45423</v>
      </c>
      <c r="D389" s="4">
        <v>0.81824185185185183</v>
      </c>
      <c r="E3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89" t="s">
        <v>0</v>
      </c>
      <c r="G389" s="2">
        <v>37.72</v>
      </c>
    </row>
    <row r="390" spans="1:7" x14ac:dyDescent="0.25">
      <c r="A3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240512-MOR001</v>
      </c>
      <c r="B390" s="1" t="str">
        <f>TEXT(Coffee_sales_clean[[#This Row],[Transaction Date]],"dddd")</f>
        <v>Sunday</v>
      </c>
      <c r="C390" s="12">
        <v>45424</v>
      </c>
      <c r="D390" s="4">
        <v>0.43104759259259257</v>
      </c>
      <c r="E3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90" t="s">
        <v>0</v>
      </c>
      <c r="G390" s="2">
        <v>37.72</v>
      </c>
    </row>
    <row r="391" spans="1:7" x14ac:dyDescent="0.25">
      <c r="A3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240512-LUN001</v>
      </c>
      <c r="B391" s="1" t="str">
        <f>TEXT(Coffee_sales_clean[[#This Row],[Transaction Date]],"dddd")</f>
        <v>Sunday</v>
      </c>
      <c r="C391" s="12">
        <v>45424</v>
      </c>
      <c r="D391" s="4">
        <v>0.55837343750000001</v>
      </c>
      <c r="E3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91" t="s">
        <v>0</v>
      </c>
      <c r="G391" s="2">
        <v>37.72</v>
      </c>
    </row>
    <row r="392" spans="1:7" x14ac:dyDescent="0.25">
      <c r="A3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240512-LUN002</v>
      </c>
      <c r="B392" s="1" t="str">
        <f>TEXT(Coffee_sales_clean[[#This Row],[Transaction Date]],"dddd")</f>
        <v>Sunday</v>
      </c>
      <c r="C392" s="12">
        <v>45424</v>
      </c>
      <c r="D392" s="4">
        <v>0.5608685532407407</v>
      </c>
      <c r="E3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92" t="s">
        <v>2</v>
      </c>
      <c r="G392" s="2">
        <v>27.92</v>
      </c>
    </row>
    <row r="393" spans="1:7" x14ac:dyDescent="0.25">
      <c r="A3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240512-AFT001</v>
      </c>
      <c r="B393" s="1" t="str">
        <f>TEXT(Coffee_sales_clean[[#This Row],[Transaction Date]],"dddd")</f>
        <v>Sunday</v>
      </c>
      <c r="C393" s="12">
        <v>45424</v>
      </c>
      <c r="D393" s="4">
        <v>0.63634045138888884</v>
      </c>
      <c r="E3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93" t="s">
        <v>0</v>
      </c>
      <c r="G393" s="2">
        <v>37.72</v>
      </c>
    </row>
    <row r="394" spans="1:7" x14ac:dyDescent="0.25">
      <c r="A3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240512-AFT002</v>
      </c>
      <c r="B394" s="1" t="str">
        <f>TEXT(Coffee_sales_clean[[#This Row],[Transaction Date]],"dddd")</f>
        <v>Sunday</v>
      </c>
      <c r="C394" s="12">
        <v>45424</v>
      </c>
      <c r="D394" s="4">
        <v>0.65141692129629625</v>
      </c>
      <c r="E3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94" t="s">
        <v>3</v>
      </c>
      <c r="G394" s="2">
        <v>32.82</v>
      </c>
    </row>
    <row r="395" spans="1:7" x14ac:dyDescent="0.25">
      <c r="A3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240512-AFT003</v>
      </c>
      <c r="B395" s="1" t="str">
        <f>TEXT(Coffee_sales_clean[[#This Row],[Transaction Date]],"dddd")</f>
        <v>Sunday</v>
      </c>
      <c r="C395" s="12">
        <v>45424</v>
      </c>
      <c r="D395" s="4">
        <v>0.66128322916666671</v>
      </c>
      <c r="E3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95" t="s">
        <v>3</v>
      </c>
      <c r="G395" s="2">
        <v>32.82</v>
      </c>
    </row>
    <row r="396" spans="1:7" x14ac:dyDescent="0.25">
      <c r="A3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240512-AFT004</v>
      </c>
      <c r="B396" s="1" t="str">
        <f>TEXT(Coffee_sales_clean[[#This Row],[Transaction Date]],"dddd")</f>
        <v>Sunday</v>
      </c>
      <c r="C396" s="12">
        <v>45424</v>
      </c>
      <c r="D396" s="4">
        <v>0.66968903935185187</v>
      </c>
      <c r="E3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96" t="s">
        <v>3</v>
      </c>
      <c r="G396" s="2">
        <v>32.82</v>
      </c>
    </row>
    <row r="397" spans="1:7" x14ac:dyDescent="0.25">
      <c r="A3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240512-EVE001</v>
      </c>
      <c r="B397" s="1" t="str">
        <f>TEXT(Coffee_sales_clean[[#This Row],[Transaction Date]],"dddd")</f>
        <v>Sunday</v>
      </c>
      <c r="C397" s="12">
        <v>45424</v>
      </c>
      <c r="D397" s="4">
        <v>0.82049269675925929</v>
      </c>
      <c r="E3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97" t="s">
        <v>3</v>
      </c>
      <c r="G397" s="2">
        <v>32.82</v>
      </c>
    </row>
    <row r="398" spans="1:7" x14ac:dyDescent="0.25">
      <c r="A3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240513-LUN001</v>
      </c>
      <c r="B398" s="1" t="str">
        <f>TEXT(Coffee_sales_clean[[#This Row],[Transaction Date]],"dddd")</f>
        <v>Monday</v>
      </c>
      <c r="C398" s="12">
        <v>45425</v>
      </c>
      <c r="D398" s="4">
        <v>0.46103412037037039</v>
      </c>
      <c r="E3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98" t="s">
        <v>3</v>
      </c>
      <c r="G398" s="2">
        <v>32.82</v>
      </c>
    </row>
    <row r="399" spans="1:7" x14ac:dyDescent="0.25">
      <c r="A3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240514-MOR001</v>
      </c>
      <c r="B399" s="1" t="str">
        <f>TEXT(Coffee_sales_clean[[#This Row],[Transaction Date]],"dddd")</f>
        <v>Tuesday</v>
      </c>
      <c r="C399" s="12">
        <v>45426</v>
      </c>
      <c r="D399" s="4">
        <v>0.3598909837962963</v>
      </c>
      <c r="E3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99" t="s">
        <v>2</v>
      </c>
      <c r="G399" s="2">
        <v>27.92</v>
      </c>
    </row>
    <row r="400" spans="1:7" x14ac:dyDescent="0.25">
      <c r="A4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240514-MOR002</v>
      </c>
      <c r="B400" s="1" t="str">
        <f>TEXT(Coffee_sales_clean[[#This Row],[Transaction Date]],"dddd")</f>
        <v>Tuesday</v>
      </c>
      <c r="C400" s="12">
        <v>45426</v>
      </c>
      <c r="D400" s="4">
        <v>0.36071128472222225</v>
      </c>
      <c r="E4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00" t="s">
        <v>2</v>
      </c>
      <c r="G400" s="2">
        <v>27.92</v>
      </c>
    </row>
    <row r="401" spans="1:7" x14ac:dyDescent="0.25">
      <c r="A4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240514-MOR003</v>
      </c>
      <c r="B401" s="1" t="str">
        <f>TEXT(Coffee_sales_clean[[#This Row],[Transaction Date]],"dddd")</f>
        <v>Tuesday</v>
      </c>
      <c r="C401" s="12">
        <v>45426</v>
      </c>
      <c r="D401" s="4">
        <v>0.36131347222222221</v>
      </c>
      <c r="E4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01" t="s">
        <v>2</v>
      </c>
      <c r="G401" s="2">
        <v>27.92</v>
      </c>
    </row>
    <row r="402" spans="1:7" x14ac:dyDescent="0.25">
      <c r="A4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240514-MOR004</v>
      </c>
      <c r="B402" s="1" t="str">
        <f>TEXT(Coffee_sales_clean[[#This Row],[Transaction Date]],"dddd")</f>
        <v>Tuesday</v>
      </c>
      <c r="C402" s="12">
        <v>45426</v>
      </c>
      <c r="D402" s="4">
        <v>0.43012932870370368</v>
      </c>
      <c r="E4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02" t="s">
        <v>7</v>
      </c>
      <c r="G402" s="2">
        <v>37.72</v>
      </c>
    </row>
    <row r="403" spans="1:7" x14ac:dyDescent="0.25">
      <c r="A4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240514-LUN001</v>
      </c>
      <c r="B403" s="1" t="str">
        <f>TEXT(Coffee_sales_clean[[#This Row],[Transaction Date]],"dddd")</f>
        <v>Tuesday</v>
      </c>
      <c r="C403" s="12">
        <v>45426</v>
      </c>
      <c r="D403" s="4">
        <v>0.48089550925925928</v>
      </c>
      <c r="E4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03" t="s">
        <v>0</v>
      </c>
      <c r="G403" s="2">
        <v>37.72</v>
      </c>
    </row>
    <row r="404" spans="1:7" x14ac:dyDescent="0.25">
      <c r="A4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240514-LUN002</v>
      </c>
      <c r="B404" s="1" t="str">
        <f>TEXT(Coffee_sales_clean[[#This Row],[Transaction Date]],"dddd")</f>
        <v>Tuesday</v>
      </c>
      <c r="C404" s="12">
        <v>45426</v>
      </c>
      <c r="D404" s="4">
        <v>0.4820931828703704</v>
      </c>
      <c r="E4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04" t="s">
        <v>7</v>
      </c>
      <c r="G404" s="2">
        <v>37.72</v>
      </c>
    </row>
    <row r="405" spans="1:7" x14ac:dyDescent="0.25">
      <c r="A4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240514-AFT001</v>
      </c>
      <c r="B405" s="1" t="str">
        <f>TEXT(Coffee_sales_clean[[#This Row],[Transaction Date]],"dddd")</f>
        <v>Tuesday</v>
      </c>
      <c r="C405" s="12">
        <v>45426</v>
      </c>
      <c r="D405" s="4">
        <v>0.58674282407407408</v>
      </c>
      <c r="E4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05" t="s">
        <v>7</v>
      </c>
      <c r="G405" s="2">
        <v>37.72</v>
      </c>
    </row>
    <row r="406" spans="1:7" x14ac:dyDescent="0.25">
      <c r="A4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240514-AFT002</v>
      </c>
      <c r="B406" s="1" t="str">
        <f>TEXT(Coffee_sales_clean[[#This Row],[Transaction Date]],"dddd")</f>
        <v>Tuesday</v>
      </c>
      <c r="C406" s="12">
        <v>45426</v>
      </c>
      <c r="D406" s="4">
        <v>0.58750437499999997</v>
      </c>
      <c r="E4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06" t="s">
        <v>3</v>
      </c>
      <c r="G406" s="2">
        <v>32.82</v>
      </c>
    </row>
    <row r="407" spans="1:7" x14ac:dyDescent="0.25">
      <c r="A4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240514-AFT003</v>
      </c>
      <c r="B407" s="1" t="str">
        <f>TEXT(Coffee_sales_clean[[#This Row],[Transaction Date]],"dddd")</f>
        <v>Tuesday</v>
      </c>
      <c r="C407" s="12">
        <v>45426</v>
      </c>
      <c r="D407" s="4">
        <v>0.62632853009259259</v>
      </c>
      <c r="E4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07" t="s">
        <v>2</v>
      </c>
      <c r="G407" s="2">
        <v>27.92</v>
      </c>
    </row>
    <row r="408" spans="1:7" x14ac:dyDescent="0.25">
      <c r="A4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240514-AFT004</v>
      </c>
      <c r="B408" s="1" t="str">
        <f>TEXT(Coffee_sales_clean[[#This Row],[Transaction Date]],"dddd")</f>
        <v>Tuesday</v>
      </c>
      <c r="C408" s="12">
        <v>45426</v>
      </c>
      <c r="D408" s="4">
        <v>0.70691231481481487</v>
      </c>
      <c r="E4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08" t="s">
        <v>3</v>
      </c>
      <c r="G408" s="2">
        <v>32.82</v>
      </c>
    </row>
    <row r="409" spans="1:7" x14ac:dyDescent="0.25">
      <c r="A4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240514-AFT005</v>
      </c>
      <c r="B409" s="1" t="str">
        <f>TEXT(Coffee_sales_clean[[#This Row],[Transaction Date]],"dddd")</f>
        <v>Tuesday</v>
      </c>
      <c r="C409" s="12">
        <v>45426</v>
      </c>
      <c r="D409" s="4">
        <v>0.70775687499999995</v>
      </c>
      <c r="E4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09" t="s">
        <v>7</v>
      </c>
      <c r="G409" s="2">
        <v>37.72</v>
      </c>
    </row>
    <row r="410" spans="1:7" x14ac:dyDescent="0.25">
      <c r="A4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240514-LAT001</v>
      </c>
      <c r="B410" s="1" t="str">
        <f>TEXT(Coffee_sales_clean[[#This Row],[Transaction Date]],"dddd")</f>
        <v>Tuesday</v>
      </c>
      <c r="C410" s="12">
        <v>45426</v>
      </c>
      <c r="D410" s="4">
        <v>0.95237531249999996</v>
      </c>
      <c r="E4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10" t="s">
        <v>1</v>
      </c>
      <c r="G410" s="2">
        <v>37.72</v>
      </c>
    </row>
    <row r="411" spans="1:7" x14ac:dyDescent="0.25">
      <c r="A4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240515-MOR001</v>
      </c>
      <c r="B411" s="1" t="str">
        <f>TEXT(Coffee_sales_clean[[#This Row],[Transaction Date]],"dddd")</f>
        <v>Wednesday</v>
      </c>
      <c r="C411" s="12">
        <v>45427</v>
      </c>
      <c r="D411" s="4">
        <v>0.36117663194444444</v>
      </c>
      <c r="E4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11" t="s">
        <v>0</v>
      </c>
      <c r="G411" s="2">
        <v>37.72</v>
      </c>
    </row>
    <row r="412" spans="1:7" x14ac:dyDescent="0.25">
      <c r="A4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240515-LUN001</v>
      </c>
      <c r="B412" s="1" t="str">
        <f>TEXT(Coffee_sales_clean[[#This Row],[Transaction Date]],"dddd")</f>
        <v>Wednesday</v>
      </c>
      <c r="C412" s="12">
        <v>45427</v>
      </c>
      <c r="D412" s="4">
        <v>0.4682795486111111</v>
      </c>
      <c r="E4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12" t="s">
        <v>6</v>
      </c>
      <c r="G412" s="2">
        <v>23.02</v>
      </c>
    </row>
    <row r="413" spans="1:7" x14ac:dyDescent="0.25">
      <c r="A4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240515-LUN002</v>
      </c>
      <c r="B413" s="1" t="str">
        <f>TEXT(Coffee_sales_clean[[#This Row],[Transaction Date]],"dddd")</f>
        <v>Wednesday</v>
      </c>
      <c r="C413" s="12">
        <v>45427</v>
      </c>
      <c r="D413" s="4">
        <v>0.47164408564814814</v>
      </c>
      <c r="E4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13" t="s">
        <v>2</v>
      </c>
      <c r="G413" s="2">
        <v>27.92</v>
      </c>
    </row>
    <row r="414" spans="1:7" x14ac:dyDescent="0.25">
      <c r="A4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240515-LUN003</v>
      </c>
      <c r="B414" s="1" t="str">
        <f>TEXT(Coffee_sales_clean[[#This Row],[Transaction Date]],"dddd")</f>
        <v>Wednesday</v>
      </c>
      <c r="C414" s="12">
        <v>45427</v>
      </c>
      <c r="D414" s="4">
        <v>0.56568405092592589</v>
      </c>
      <c r="E4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14" t="s">
        <v>2</v>
      </c>
      <c r="G414" s="2">
        <v>27.92</v>
      </c>
    </row>
    <row r="415" spans="1:7" x14ac:dyDescent="0.25">
      <c r="A4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240515-LUN004</v>
      </c>
      <c r="B415" s="1" t="str">
        <f>TEXT(Coffee_sales_clean[[#This Row],[Transaction Date]],"dddd")</f>
        <v>Wednesday</v>
      </c>
      <c r="C415" s="12">
        <v>45427</v>
      </c>
      <c r="D415" s="4">
        <v>0.566309849537037</v>
      </c>
      <c r="E4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15" t="s">
        <v>2</v>
      </c>
      <c r="G415" s="2">
        <v>27.92</v>
      </c>
    </row>
    <row r="416" spans="1:7" x14ac:dyDescent="0.25">
      <c r="A4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240515-LUN005</v>
      </c>
      <c r="B416" s="1" t="str">
        <f>TEXT(Coffee_sales_clean[[#This Row],[Transaction Date]],"dddd")</f>
        <v>Wednesday</v>
      </c>
      <c r="C416" s="12">
        <v>45427</v>
      </c>
      <c r="D416" s="4">
        <v>0.56698309027777782</v>
      </c>
      <c r="E4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16" t="s">
        <v>2</v>
      </c>
      <c r="G416" s="2">
        <v>27.92</v>
      </c>
    </row>
    <row r="417" spans="1:7" x14ac:dyDescent="0.25">
      <c r="A4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240515-LUN006</v>
      </c>
      <c r="B417" s="1" t="str">
        <f>TEXT(Coffee_sales_clean[[#This Row],[Transaction Date]],"dddd")</f>
        <v>Wednesday</v>
      </c>
      <c r="C417" s="12">
        <v>45427</v>
      </c>
      <c r="D417" s="4">
        <v>0.58019674768518514</v>
      </c>
      <c r="E4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17" t="s">
        <v>3</v>
      </c>
      <c r="G417" s="2">
        <v>32.82</v>
      </c>
    </row>
    <row r="418" spans="1:7" x14ac:dyDescent="0.25">
      <c r="A4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240515-AFT001</v>
      </c>
      <c r="B418" s="1" t="str">
        <f>TEXT(Coffee_sales_clean[[#This Row],[Transaction Date]],"dddd")</f>
        <v>Wednesday</v>
      </c>
      <c r="C418" s="12">
        <v>45427</v>
      </c>
      <c r="D418" s="4">
        <v>0.61032809027777779</v>
      </c>
      <c r="E4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18" t="s">
        <v>5</v>
      </c>
      <c r="G418" s="2">
        <v>27.92</v>
      </c>
    </row>
    <row r="419" spans="1:7" x14ac:dyDescent="0.25">
      <c r="A4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240515-AFT002</v>
      </c>
      <c r="B419" s="1" t="str">
        <f>TEXT(Coffee_sales_clean[[#This Row],[Transaction Date]],"dddd")</f>
        <v>Wednesday</v>
      </c>
      <c r="C419" s="12">
        <v>45427</v>
      </c>
      <c r="D419" s="4">
        <v>0.61093017361111113</v>
      </c>
      <c r="E4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19" t="s">
        <v>5</v>
      </c>
      <c r="G419" s="2">
        <v>27.92</v>
      </c>
    </row>
    <row r="420" spans="1:7" x14ac:dyDescent="0.25">
      <c r="A4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240515-EVE001</v>
      </c>
      <c r="B420" s="1" t="str">
        <f>TEXT(Coffee_sales_clean[[#This Row],[Transaction Date]],"dddd")</f>
        <v>Wednesday</v>
      </c>
      <c r="C420" s="12">
        <v>45427</v>
      </c>
      <c r="D420" s="4">
        <v>0.72845625000000003</v>
      </c>
      <c r="E4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20" t="s">
        <v>6</v>
      </c>
      <c r="G420" s="2">
        <v>23.02</v>
      </c>
    </row>
    <row r="421" spans="1:7" x14ac:dyDescent="0.25">
      <c r="A4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240515-LAT001</v>
      </c>
      <c r="B421" s="1" t="str">
        <f>TEXT(Coffee_sales_clean[[#This Row],[Transaction Date]],"dddd")</f>
        <v>Wednesday</v>
      </c>
      <c r="C421" s="12">
        <v>45427</v>
      </c>
      <c r="D421" s="4">
        <v>0.84762464120370373</v>
      </c>
      <c r="E4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21" t="s">
        <v>7</v>
      </c>
      <c r="G421" s="2">
        <v>37.72</v>
      </c>
    </row>
    <row r="422" spans="1:7" x14ac:dyDescent="0.25">
      <c r="A4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240516-MOR001</v>
      </c>
      <c r="B422" s="1" t="str">
        <f>TEXT(Coffee_sales_clean[[#This Row],[Transaction Date]],"dddd")</f>
        <v>Thursday</v>
      </c>
      <c r="C422" s="12">
        <v>45428</v>
      </c>
      <c r="D422" s="4">
        <v>0.4435469675925926</v>
      </c>
      <c r="E4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22" t="s">
        <v>3</v>
      </c>
      <c r="G422" s="2">
        <v>32.82</v>
      </c>
    </row>
    <row r="423" spans="1:7" x14ac:dyDescent="0.25">
      <c r="A4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240516-MOR002</v>
      </c>
      <c r="B423" s="1" t="str">
        <f>TEXT(Coffee_sales_clean[[#This Row],[Transaction Date]],"dddd")</f>
        <v>Thursday</v>
      </c>
      <c r="C423" s="12">
        <v>45428</v>
      </c>
      <c r="D423" s="4">
        <v>0.44432211805555555</v>
      </c>
      <c r="E4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23" t="s">
        <v>3</v>
      </c>
      <c r="G423" s="2">
        <v>32.82</v>
      </c>
    </row>
    <row r="424" spans="1:7" x14ac:dyDescent="0.25">
      <c r="A4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240516-LUN001</v>
      </c>
      <c r="B424" s="1" t="str">
        <f>TEXT(Coffee_sales_clean[[#This Row],[Transaction Date]],"dddd")</f>
        <v>Thursday</v>
      </c>
      <c r="C424" s="12">
        <v>45428</v>
      </c>
      <c r="D424" s="4">
        <v>0.50972334490740745</v>
      </c>
      <c r="E4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24" t="s">
        <v>3</v>
      </c>
      <c r="G424" s="2">
        <v>32.82</v>
      </c>
    </row>
    <row r="425" spans="1:7" x14ac:dyDescent="0.25">
      <c r="A4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240516-AFT001</v>
      </c>
      <c r="B425" s="1" t="str">
        <f>TEXT(Coffee_sales_clean[[#This Row],[Transaction Date]],"dddd")</f>
        <v>Thursday</v>
      </c>
      <c r="C425" s="12">
        <v>45428</v>
      </c>
      <c r="D425" s="4">
        <v>0.63560549768518515</v>
      </c>
      <c r="E4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25" t="s">
        <v>1</v>
      </c>
      <c r="G425" s="2">
        <v>37.72</v>
      </c>
    </row>
    <row r="426" spans="1:7" x14ac:dyDescent="0.25">
      <c r="A4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240516-EVE001</v>
      </c>
      <c r="B426" s="1" t="str">
        <f>TEXT(Coffee_sales_clean[[#This Row],[Transaction Date]],"dddd")</f>
        <v>Thursday</v>
      </c>
      <c r="C426" s="12">
        <v>45428</v>
      </c>
      <c r="D426" s="4">
        <v>0.73925402777777782</v>
      </c>
      <c r="E4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26" t="s">
        <v>0</v>
      </c>
      <c r="G426" s="2">
        <v>37.72</v>
      </c>
    </row>
    <row r="427" spans="1:7" x14ac:dyDescent="0.25">
      <c r="A4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240516-EVE002</v>
      </c>
      <c r="B427" s="1" t="str">
        <f>TEXT(Coffee_sales_clean[[#This Row],[Transaction Date]],"dddd")</f>
        <v>Thursday</v>
      </c>
      <c r="C427" s="12">
        <v>45428</v>
      </c>
      <c r="D427" s="4">
        <v>0.75899229166666671</v>
      </c>
      <c r="E4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27" t="s">
        <v>1</v>
      </c>
      <c r="G427" s="2">
        <v>37.72</v>
      </c>
    </row>
    <row r="428" spans="1:7" x14ac:dyDescent="0.25">
      <c r="A4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240516-EVE003</v>
      </c>
      <c r="B428" s="1" t="str">
        <f>TEXT(Coffee_sales_clean[[#This Row],[Transaction Date]],"dddd")</f>
        <v>Thursday</v>
      </c>
      <c r="C428" s="12">
        <v>45428</v>
      </c>
      <c r="D428" s="4">
        <v>0.7597012847222222</v>
      </c>
      <c r="E4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28" t="s">
        <v>0</v>
      </c>
      <c r="G428" s="2">
        <v>37.72</v>
      </c>
    </row>
    <row r="429" spans="1:7" x14ac:dyDescent="0.25">
      <c r="A4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240517-MOR001</v>
      </c>
      <c r="B429" s="1" t="str">
        <f>TEXT(Coffee_sales_clean[[#This Row],[Transaction Date]],"dddd")</f>
        <v>Friday</v>
      </c>
      <c r="C429" s="12">
        <v>45429</v>
      </c>
      <c r="D429" s="4">
        <v>0.37556083333333334</v>
      </c>
      <c r="E4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29" t="s">
        <v>2</v>
      </c>
      <c r="G429" s="2">
        <v>27.92</v>
      </c>
    </row>
    <row r="430" spans="1:7" x14ac:dyDescent="0.25">
      <c r="A4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240517-LUN001</v>
      </c>
      <c r="B430" s="1" t="str">
        <f>TEXT(Coffee_sales_clean[[#This Row],[Transaction Date]],"dddd")</f>
        <v>Friday</v>
      </c>
      <c r="C430" s="12">
        <v>45429</v>
      </c>
      <c r="D430" s="4">
        <v>0.47948556712962964</v>
      </c>
      <c r="E4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30" t="s">
        <v>3</v>
      </c>
      <c r="G430" s="2">
        <v>32.82</v>
      </c>
    </row>
    <row r="431" spans="1:7" x14ac:dyDescent="0.25">
      <c r="A4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240517-EVE001</v>
      </c>
      <c r="B431" s="1" t="str">
        <f>TEXT(Coffee_sales_clean[[#This Row],[Transaction Date]],"dddd")</f>
        <v>Friday</v>
      </c>
      <c r="C431" s="12">
        <v>45429</v>
      </c>
      <c r="D431" s="4">
        <v>0.83007562499999998</v>
      </c>
      <c r="E4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31" t="s">
        <v>3</v>
      </c>
      <c r="G431" s="2">
        <v>32.82</v>
      </c>
    </row>
    <row r="432" spans="1:7" x14ac:dyDescent="0.25">
      <c r="A4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240517-EVE002</v>
      </c>
      <c r="B432" s="1" t="str">
        <f>TEXT(Coffee_sales_clean[[#This Row],[Transaction Date]],"dddd")</f>
        <v>Friday</v>
      </c>
      <c r="C432" s="12">
        <v>45429</v>
      </c>
      <c r="D432" s="4">
        <v>0.83109665509259256</v>
      </c>
      <c r="E4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32" t="s">
        <v>7</v>
      </c>
      <c r="G432" s="2">
        <v>37.72</v>
      </c>
    </row>
    <row r="433" spans="1:7" x14ac:dyDescent="0.25">
      <c r="A4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240517-LAT001</v>
      </c>
      <c r="B433" s="1" t="str">
        <f>TEXT(Coffee_sales_clean[[#This Row],[Transaction Date]],"dddd")</f>
        <v>Friday</v>
      </c>
      <c r="C433" s="12">
        <v>45429</v>
      </c>
      <c r="D433" s="4">
        <v>0.85964039351851851</v>
      </c>
      <c r="E4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33" t="s">
        <v>7</v>
      </c>
      <c r="G433" s="2">
        <v>37.72</v>
      </c>
    </row>
    <row r="434" spans="1:7" x14ac:dyDescent="0.25">
      <c r="A4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240517-LAT002</v>
      </c>
      <c r="B434" s="1" t="str">
        <f>TEXT(Coffee_sales_clean[[#This Row],[Transaction Date]],"dddd")</f>
        <v>Friday</v>
      </c>
      <c r="C434" s="12">
        <v>45429</v>
      </c>
      <c r="D434" s="4">
        <v>0.94086570601851849</v>
      </c>
      <c r="E4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34" t="s">
        <v>2</v>
      </c>
      <c r="G434" s="2">
        <v>27.92</v>
      </c>
    </row>
    <row r="435" spans="1:7" x14ac:dyDescent="0.25">
      <c r="A4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240517-LAT003</v>
      </c>
      <c r="B435" s="1" t="str">
        <f>TEXT(Coffee_sales_clean[[#This Row],[Transaction Date]],"dddd")</f>
        <v>Friday</v>
      </c>
      <c r="C435" s="12">
        <v>45429</v>
      </c>
      <c r="D435" s="4">
        <v>0.94205274305555553</v>
      </c>
      <c r="E4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35" t="s">
        <v>0</v>
      </c>
      <c r="G435" s="2">
        <v>37.72</v>
      </c>
    </row>
    <row r="436" spans="1:7" x14ac:dyDescent="0.25">
      <c r="A4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240517-LAT004</v>
      </c>
      <c r="B436" s="1" t="str">
        <f>TEXT(Coffee_sales_clean[[#This Row],[Transaction Date]],"dddd")</f>
        <v>Friday</v>
      </c>
      <c r="C436" s="12">
        <v>45429</v>
      </c>
      <c r="D436" s="4">
        <v>0.94285672453703706</v>
      </c>
      <c r="E4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36" t="s">
        <v>0</v>
      </c>
      <c r="G436" s="2">
        <v>37.72</v>
      </c>
    </row>
    <row r="437" spans="1:7" x14ac:dyDescent="0.25">
      <c r="A4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240518-MOR001</v>
      </c>
      <c r="B437" s="1" t="str">
        <f>TEXT(Coffee_sales_clean[[#This Row],[Transaction Date]],"dddd")</f>
        <v>Saturday</v>
      </c>
      <c r="C437" s="12">
        <v>45430</v>
      </c>
      <c r="D437" s="4">
        <v>0.33446641203703703</v>
      </c>
      <c r="E4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37" t="s">
        <v>7</v>
      </c>
      <c r="G437" s="2">
        <v>37.72</v>
      </c>
    </row>
    <row r="438" spans="1:7" x14ac:dyDescent="0.25">
      <c r="A4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240518-MOR002</v>
      </c>
      <c r="B438" s="1" t="str">
        <f>TEXT(Coffee_sales_clean[[#This Row],[Transaction Date]],"dddd")</f>
        <v>Saturday</v>
      </c>
      <c r="C438" s="12">
        <v>45430</v>
      </c>
      <c r="D438" s="4">
        <v>0.33518471064814814</v>
      </c>
      <c r="E4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38" t="s">
        <v>7</v>
      </c>
      <c r="G438" s="2">
        <v>37.72</v>
      </c>
    </row>
    <row r="439" spans="1:7" x14ac:dyDescent="0.25">
      <c r="A4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240518-LUN001</v>
      </c>
      <c r="B439" s="1" t="str">
        <f>TEXT(Coffee_sales_clean[[#This Row],[Transaction Date]],"dddd")</f>
        <v>Saturday</v>
      </c>
      <c r="C439" s="12">
        <v>45430</v>
      </c>
      <c r="D439" s="4">
        <v>0.46939917824074073</v>
      </c>
      <c r="E4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39" t="s">
        <v>3</v>
      </c>
      <c r="G439" s="2">
        <v>32.82</v>
      </c>
    </row>
    <row r="440" spans="1:7" x14ac:dyDescent="0.25">
      <c r="A4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240518-AFT001</v>
      </c>
      <c r="B440" s="1" t="str">
        <f>TEXT(Coffee_sales_clean[[#This Row],[Transaction Date]],"dddd")</f>
        <v>Saturday</v>
      </c>
      <c r="C440" s="12">
        <v>45430</v>
      </c>
      <c r="D440" s="4">
        <v>0.7003399768518519</v>
      </c>
      <c r="E4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40" t="s">
        <v>3</v>
      </c>
      <c r="G440" s="2">
        <v>32.82</v>
      </c>
    </row>
    <row r="441" spans="1:7" x14ac:dyDescent="0.25">
      <c r="A4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240518-AFT002</v>
      </c>
      <c r="B441" s="1" t="str">
        <f>TEXT(Coffee_sales_clean[[#This Row],[Transaction Date]],"dddd")</f>
        <v>Saturday</v>
      </c>
      <c r="C441" s="12">
        <v>45430</v>
      </c>
      <c r="D441" s="4">
        <v>0.70100846064814815</v>
      </c>
      <c r="E4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41" t="s">
        <v>3</v>
      </c>
      <c r="G441" s="2">
        <v>32.82</v>
      </c>
    </row>
    <row r="442" spans="1:7" x14ac:dyDescent="0.25">
      <c r="A4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240518-EVE001</v>
      </c>
      <c r="B442" s="1" t="str">
        <f>TEXT(Coffee_sales_clean[[#This Row],[Transaction Date]],"dddd")</f>
        <v>Saturday</v>
      </c>
      <c r="C442" s="12">
        <v>45430</v>
      </c>
      <c r="D442" s="4">
        <v>0.83245613425925924</v>
      </c>
      <c r="E4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42" t="s">
        <v>3</v>
      </c>
      <c r="G442" s="2">
        <v>32.82</v>
      </c>
    </row>
    <row r="443" spans="1:7" x14ac:dyDescent="0.25">
      <c r="A4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240518-LAT001</v>
      </c>
      <c r="B443" s="1" t="str">
        <f>TEXT(Coffee_sales_clean[[#This Row],[Transaction Date]],"dddd")</f>
        <v>Saturday</v>
      </c>
      <c r="C443" s="12">
        <v>45430</v>
      </c>
      <c r="D443" s="4">
        <v>0.84922582175925931</v>
      </c>
      <c r="E4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43" t="s">
        <v>0</v>
      </c>
      <c r="G443" s="2">
        <v>37.72</v>
      </c>
    </row>
    <row r="444" spans="1:7" x14ac:dyDescent="0.25">
      <c r="A4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240519-MOR001</v>
      </c>
      <c r="B444" s="1" t="str">
        <f>TEXT(Coffee_sales_clean[[#This Row],[Transaction Date]],"dddd")</f>
        <v>Sunday</v>
      </c>
      <c r="C444" s="12">
        <v>45431</v>
      </c>
      <c r="D444" s="4">
        <v>0.33238787037037038</v>
      </c>
      <c r="E4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44" t="s">
        <v>2</v>
      </c>
      <c r="G444" s="2">
        <v>27.92</v>
      </c>
    </row>
    <row r="445" spans="1:7" x14ac:dyDescent="0.25">
      <c r="A4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240519-MOR002</v>
      </c>
      <c r="B445" s="1" t="str">
        <f>TEXT(Coffee_sales_clean[[#This Row],[Transaction Date]],"dddd")</f>
        <v>Sunday</v>
      </c>
      <c r="C445" s="12">
        <v>45431</v>
      </c>
      <c r="D445" s="4">
        <v>0.33302718749999999</v>
      </c>
      <c r="E4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45" t="s">
        <v>2</v>
      </c>
      <c r="G445" s="2">
        <v>27.92</v>
      </c>
    </row>
    <row r="446" spans="1:7" x14ac:dyDescent="0.25">
      <c r="A4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240519-MOR003</v>
      </c>
      <c r="B446" s="1" t="str">
        <f>TEXT(Coffee_sales_clean[[#This Row],[Transaction Date]],"dddd")</f>
        <v>Sunday</v>
      </c>
      <c r="C446" s="12">
        <v>45431</v>
      </c>
      <c r="D446" s="4">
        <v>0.33373913194444443</v>
      </c>
      <c r="E4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46" t="s">
        <v>7</v>
      </c>
      <c r="G446" s="2">
        <v>37.72</v>
      </c>
    </row>
    <row r="447" spans="1:7" x14ac:dyDescent="0.25">
      <c r="A4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240519-LUN001</v>
      </c>
      <c r="B447" s="1" t="str">
        <f>TEXT(Coffee_sales_clean[[#This Row],[Transaction Date]],"dddd")</f>
        <v>Sunday</v>
      </c>
      <c r="C447" s="12">
        <v>45431</v>
      </c>
      <c r="D447" s="4">
        <v>0.51003097222222227</v>
      </c>
      <c r="E4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47" t="s">
        <v>3</v>
      </c>
      <c r="G447" s="2">
        <v>32.82</v>
      </c>
    </row>
    <row r="448" spans="1:7" x14ac:dyDescent="0.25">
      <c r="A4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240519-AFT001</v>
      </c>
      <c r="B448" s="1" t="str">
        <f>TEXT(Coffee_sales_clean[[#This Row],[Transaction Date]],"dddd")</f>
        <v>Sunday</v>
      </c>
      <c r="C448" s="12">
        <v>45431</v>
      </c>
      <c r="D448" s="4">
        <v>0.61365797453703708</v>
      </c>
      <c r="E4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48" t="s">
        <v>2</v>
      </c>
      <c r="G448" s="2">
        <v>27.92</v>
      </c>
    </row>
    <row r="449" spans="1:7" x14ac:dyDescent="0.25">
      <c r="A4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240519-AFT002</v>
      </c>
      <c r="B449" s="1" t="str">
        <f>TEXT(Coffee_sales_clean[[#This Row],[Transaction Date]],"dddd")</f>
        <v>Sunday</v>
      </c>
      <c r="C449" s="12">
        <v>45431</v>
      </c>
      <c r="D449" s="4">
        <v>0.66595129629629635</v>
      </c>
      <c r="E4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49" t="s">
        <v>3</v>
      </c>
      <c r="G449" s="2">
        <v>32.82</v>
      </c>
    </row>
    <row r="450" spans="1:7" x14ac:dyDescent="0.25">
      <c r="A4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240519-EVE001</v>
      </c>
      <c r="B450" s="1" t="str">
        <f>TEXT(Coffee_sales_clean[[#This Row],[Transaction Date]],"dddd")</f>
        <v>Sunday</v>
      </c>
      <c r="C450" s="12">
        <v>45431</v>
      </c>
      <c r="D450" s="4">
        <v>0.75875351851851847</v>
      </c>
      <c r="E4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50" t="s">
        <v>3</v>
      </c>
      <c r="G450" s="2">
        <v>32.82</v>
      </c>
    </row>
    <row r="451" spans="1:7" x14ac:dyDescent="0.25">
      <c r="A4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240519-EVE002</v>
      </c>
      <c r="B451" s="1" t="str">
        <f>TEXT(Coffee_sales_clean[[#This Row],[Transaction Date]],"dddd")</f>
        <v>Sunday</v>
      </c>
      <c r="C451" s="12">
        <v>45431</v>
      </c>
      <c r="D451" s="4">
        <v>0.75958057870370366</v>
      </c>
      <c r="E4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51" t="s">
        <v>6</v>
      </c>
      <c r="G451" s="2">
        <v>23.02</v>
      </c>
    </row>
    <row r="452" spans="1:7" x14ac:dyDescent="0.25">
      <c r="A4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240519-EVE003</v>
      </c>
      <c r="B452" s="1" t="str">
        <f>TEXT(Coffee_sales_clean[[#This Row],[Transaction Date]],"dddd")</f>
        <v>Sunday</v>
      </c>
      <c r="C452" s="12">
        <v>45431</v>
      </c>
      <c r="D452" s="4">
        <v>0.76145858796296295</v>
      </c>
      <c r="E4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52" t="s">
        <v>1</v>
      </c>
      <c r="G452" s="2">
        <v>37.72</v>
      </c>
    </row>
    <row r="453" spans="1:7" x14ac:dyDescent="0.25">
      <c r="A4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240519-EVE004</v>
      </c>
      <c r="B453" s="1" t="str">
        <f>TEXT(Coffee_sales_clean[[#This Row],[Transaction Date]],"dddd")</f>
        <v>Sunday</v>
      </c>
      <c r="C453" s="12">
        <v>45431</v>
      </c>
      <c r="D453" s="4">
        <v>0.82716410879629632</v>
      </c>
      <c r="E4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53" t="s">
        <v>7</v>
      </c>
      <c r="G453" s="2">
        <v>37.72</v>
      </c>
    </row>
    <row r="454" spans="1:7" x14ac:dyDescent="0.25">
      <c r="A4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240519-LAT001</v>
      </c>
      <c r="B454" s="1" t="str">
        <f>TEXT(Coffee_sales_clean[[#This Row],[Transaction Date]],"dddd")</f>
        <v>Sunday</v>
      </c>
      <c r="C454" s="12">
        <v>45431</v>
      </c>
      <c r="D454" s="4">
        <v>0.88590001157407405</v>
      </c>
      <c r="E4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54" t="s">
        <v>7</v>
      </c>
      <c r="G454" s="2">
        <v>37.72</v>
      </c>
    </row>
    <row r="455" spans="1:7" x14ac:dyDescent="0.25">
      <c r="A4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240519-LAT002</v>
      </c>
      <c r="B455" s="1" t="str">
        <f>TEXT(Coffee_sales_clean[[#This Row],[Transaction Date]],"dddd")</f>
        <v>Sunday</v>
      </c>
      <c r="C455" s="12">
        <v>45431</v>
      </c>
      <c r="D455" s="4">
        <v>0.88791783564814819</v>
      </c>
      <c r="E4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55" t="s">
        <v>7</v>
      </c>
      <c r="G455" s="2">
        <v>37.72</v>
      </c>
    </row>
    <row r="456" spans="1:7" x14ac:dyDescent="0.25">
      <c r="A4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240520-MOR001</v>
      </c>
      <c r="B456" s="1" t="str">
        <f>TEXT(Coffee_sales_clean[[#This Row],[Transaction Date]],"dddd")</f>
        <v>Monday</v>
      </c>
      <c r="C456" s="12">
        <v>45432</v>
      </c>
      <c r="D456" s="4">
        <v>0.42082364583333332</v>
      </c>
      <c r="E4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56" t="s">
        <v>3</v>
      </c>
      <c r="G456" s="2">
        <v>32.82</v>
      </c>
    </row>
    <row r="457" spans="1:7" x14ac:dyDescent="0.25">
      <c r="A4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240520-MOR002</v>
      </c>
      <c r="B457" s="1" t="str">
        <f>TEXT(Coffee_sales_clean[[#This Row],[Transaction Date]],"dddd")</f>
        <v>Monday</v>
      </c>
      <c r="C457" s="12">
        <v>45432</v>
      </c>
      <c r="D457" s="4">
        <v>0.42907253472222223</v>
      </c>
      <c r="E4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57" t="s">
        <v>0</v>
      </c>
      <c r="G457" s="2">
        <v>37.72</v>
      </c>
    </row>
    <row r="458" spans="1:7" x14ac:dyDescent="0.25">
      <c r="A4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240520-MOR003</v>
      </c>
      <c r="B458" s="1" t="str">
        <f>TEXT(Coffee_sales_clean[[#This Row],[Transaction Date]],"dddd")</f>
        <v>Monday</v>
      </c>
      <c r="C458" s="12">
        <v>45432</v>
      </c>
      <c r="D458" s="4">
        <v>0.45750438657407405</v>
      </c>
      <c r="E4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58" t="s">
        <v>0</v>
      </c>
      <c r="G458" s="2">
        <v>37.72</v>
      </c>
    </row>
    <row r="459" spans="1:7" x14ac:dyDescent="0.25">
      <c r="A4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240520-LUN001</v>
      </c>
      <c r="B459" s="1" t="str">
        <f>TEXT(Coffee_sales_clean[[#This Row],[Transaction Date]],"dddd")</f>
        <v>Monday</v>
      </c>
      <c r="C459" s="12">
        <v>45432</v>
      </c>
      <c r="D459" s="4">
        <v>0.46893938657407408</v>
      </c>
      <c r="E4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59" t="s">
        <v>2</v>
      </c>
      <c r="G459" s="2">
        <v>27.92</v>
      </c>
    </row>
    <row r="460" spans="1:7" x14ac:dyDescent="0.25">
      <c r="A4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240520-LUN002</v>
      </c>
      <c r="B460" s="1" t="str">
        <f>TEXT(Coffee_sales_clean[[#This Row],[Transaction Date]],"dddd")</f>
        <v>Monday</v>
      </c>
      <c r="C460" s="12">
        <v>45432</v>
      </c>
      <c r="D460" s="4">
        <v>0.46967172453703704</v>
      </c>
      <c r="E4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60" t="s">
        <v>2</v>
      </c>
      <c r="G460" s="2">
        <v>27.92</v>
      </c>
    </row>
    <row r="461" spans="1:7" x14ac:dyDescent="0.25">
      <c r="A4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240520-LUN003</v>
      </c>
      <c r="B461" s="1" t="str">
        <f>TEXT(Coffee_sales_clean[[#This Row],[Transaction Date]],"dddd")</f>
        <v>Monday</v>
      </c>
      <c r="C461" s="12">
        <v>45432</v>
      </c>
      <c r="D461" s="4">
        <v>0.56057199074074071</v>
      </c>
      <c r="E4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61" t="s">
        <v>2</v>
      </c>
      <c r="G461" s="2">
        <v>27.92</v>
      </c>
    </row>
    <row r="462" spans="1:7" x14ac:dyDescent="0.25">
      <c r="A4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240520-LUN004</v>
      </c>
      <c r="B462" s="1" t="str">
        <f>TEXT(Coffee_sales_clean[[#This Row],[Transaction Date]],"dddd")</f>
        <v>Monday</v>
      </c>
      <c r="C462" s="12">
        <v>45432</v>
      </c>
      <c r="D462" s="4">
        <v>0.56123194444444446</v>
      </c>
      <c r="E4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62" t="s">
        <v>2</v>
      </c>
      <c r="G462" s="2">
        <v>27.92</v>
      </c>
    </row>
    <row r="463" spans="1:7" x14ac:dyDescent="0.25">
      <c r="A4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240520-AFT001</v>
      </c>
      <c r="B463" s="1" t="str">
        <f>TEXT(Coffee_sales_clean[[#This Row],[Transaction Date]],"dddd")</f>
        <v>Monday</v>
      </c>
      <c r="C463" s="12">
        <v>45432</v>
      </c>
      <c r="D463" s="4">
        <v>0.59258121527777774</v>
      </c>
      <c r="E4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63" t="s">
        <v>3</v>
      </c>
      <c r="G463" s="2">
        <v>32.82</v>
      </c>
    </row>
    <row r="464" spans="1:7" x14ac:dyDescent="0.25">
      <c r="A4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240520-AFT002</v>
      </c>
      <c r="B464" s="1" t="str">
        <f>TEXT(Coffee_sales_clean[[#This Row],[Transaction Date]],"dddd")</f>
        <v>Monday</v>
      </c>
      <c r="C464" s="12">
        <v>45432</v>
      </c>
      <c r="D464" s="4">
        <v>0.59341844907407404</v>
      </c>
      <c r="E4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64" t="s">
        <v>7</v>
      </c>
      <c r="G464" s="2">
        <v>37.72</v>
      </c>
    </row>
    <row r="465" spans="1:7" x14ac:dyDescent="0.25">
      <c r="A4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240520-EVE001</v>
      </c>
      <c r="B465" s="1" t="str">
        <f>TEXT(Coffee_sales_clean[[#This Row],[Transaction Date]],"dddd")</f>
        <v>Monday</v>
      </c>
      <c r="C465" s="12">
        <v>45432</v>
      </c>
      <c r="D465" s="4">
        <v>0.71725834490740736</v>
      </c>
      <c r="E4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65" t="s">
        <v>0</v>
      </c>
      <c r="G465" s="2">
        <v>37.72</v>
      </c>
    </row>
    <row r="466" spans="1:7" x14ac:dyDescent="0.25">
      <c r="A4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240520-EVE002</v>
      </c>
      <c r="B466" s="1" t="str">
        <f>TEXT(Coffee_sales_clean[[#This Row],[Transaction Date]],"dddd")</f>
        <v>Monday</v>
      </c>
      <c r="C466" s="12">
        <v>45432</v>
      </c>
      <c r="D466" s="4">
        <v>0.71801964120370365</v>
      </c>
      <c r="E4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66" t="s">
        <v>0</v>
      </c>
      <c r="G466" s="2">
        <v>37.72</v>
      </c>
    </row>
    <row r="467" spans="1:7" x14ac:dyDescent="0.25">
      <c r="A4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240520-LAT001</v>
      </c>
      <c r="B467" s="1" t="str">
        <f>TEXT(Coffee_sales_clean[[#This Row],[Transaction Date]],"dddd")</f>
        <v>Monday</v>
      </c>
      <c r="C467" s="12">
        <v>45432</v>
      </c>
      <c r="D467" s="4">
        <v>0.85889259259259254</v>
      </c>
      <c r="E4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67" t="s">
        <v>3</v>
      </c>
      <c r="G467" s="2">
        <v>32.82</v>
      </c>
    </row>
    <row r="468" spans="1:7" x14ac:dyDescent="0.25">
      <c r="A4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240520-LAT002</v>
      </c>
      <c r="B468" s="1" t="str">
        <f>TEXT(Coffee_sales_clean[[#This Row],[Transaction Date]],"dddd")</f>
        <v>Monday</v>
      </c>
      <c r="C468" s="12">
        <v>45432</v>
      </c>
      <c r="D468" s="4">
        <v>0.85969115740740742</v>
      </c>
      <c r="E4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68" t="s">
        <v>4</v>
      </c>
      <c r="G468" s="2">
        <v>37.72</v>
      </c>
    </row>
    <row r="469" spans="1:7" x14ac:dyDescent="0.25">
      <c r="A4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240520-LAT003</v>
      </c>
      <c r="B469" s="1" t="str">
        <f>TEXT(Coffee_sales_clean[[#This Row],[Transaction Date]],"dddd")</f>
        <v>Monday</v>
      </c>
      <c r="C469" s="12">
        <v>45432</v>
      </c>
      <c r="D469" s="4">
        <v>0.86588061342592593</v>
      </c>
      <c r="E4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69" t="s">
        <v>5</v>
      </c>
      <c r="G469" s="2">
        <v>27.92</v>
      </c>
    </row>
    <row r="470" spans="1:7" x14ac:dyDescent="0.25">
      <c r="A4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240520-LAT004</v>
      </c>
      <c r="B470" s="1" t="str">
        <f>TEXT(Coffee_sales_clean[[#This Row],[Transaction Date]],"dddd")</f>
        <v>Monday</v>
      </c>
      <c r="C470" s="12">
        <v>45432</v>
      </c>
      <c r="D470" s="4">
        <v>0.900624837962963</v>
      </c>
      <c r="E4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70" t="s">
        <v>3</v>
      </c>
      <c r="G470" s="2">
        <v>32.82</v>
      </c>
    </row>
    <row r="471" spans="1:7" x14ac:dyDescent="0.25">
      <c r="A4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240520-LAT005</v>
      </c>
      <c r="B471" s="1" t="str">
        <f>TEXT(Coffee_sales_clean[[#This Row],[Transaction Date]],"dddd")</f>
        <v>Monday</v>
      </c>
      <c r="C471" s="12">
        <v>45432</v>
      </c>
      <c r="D471" s="4">
        <v>0.90136315972222225</v>
      </c>
      <c r="E4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71" t="s">
        <v>3</v>
      </c>
      <c r="G471" s="2">
        <v>32.82</v>
      </c>
    </row>
    <row r="472" spans="1:7" x14ac:dyDescent="0.25">
      <c r="A4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240521-MOR001</v>
      </c>
      <c r="B472" s="1" t="str">
        <f>TEXT(Coffee_sales_clean[[#This Row],[Transaction Date]],"dddd")</f>
        <v>Tuesday</v>
      </c>
      <c r="C472" s="12">
        <v>45433</v>
      </c>
      <c r="D472" s="4">
        <v>0.3525258101851852</v>
      </c>
      <c r="E4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72" t="s">
        <v>0</v>
      </c>
      <c r="G472" s="2">
        <v>37.72</v>
      </c>
    </row>
    <row r="473" spans="1:7" x14ac:dyDescent="0.25">
      <c r="A4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240521-AFT001</v>
      </c>
      <c r="B473" s="1" t="str">
        <f>TEXT(Coffee_sales_clean[[#This Row],[Transaction Date]],"dddd")</f>
        <v>Tuesday</v>
      </c>
      <c r="C473" s="12">
        <v>45433</v>
      </c>
      <c r="D473" s="4">
        <v>0.67384208333333329</v>
      </c>
      <c r="E4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73" t="s">
        <v>0</v>
      </c>
      <c r="G473" s="2">
        <v>37.72</v>
      </c>
    </row>
    <row r="474" spans="1:7" x14ac:dyDescent="0.25">
      <c r="A4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240521-EVE001</v>
      </c>
      <c r="B474" s="1" t="str">
        <f>TEXT(Coffee_sales_clean[[#This Row],[Transaction Date]],"dddd")</f>
        <v>Tuesday</v>
      </c>
      <c r="C474" s="12">
        <v>45433</v>
      </c>
      <c r="D474" s="4">
        <v>0.75930553240740739</v>
      </c>
      <c r="E4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74" t="s">
        <v>6</v>
      </c>
      <c r="G474" s="2">
        <v>23.02</v>
      </c>
    </row>
    <row r="475" spans="1:7" x14ac:dyDescent="0.25">
      <c r="A4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240521-EVE002</v>
      </c>
      <c r="B475" s="1" t="str">
        <f>TEXT(Coffee_sales_clean[[#This Row],[Transaction Date]],"dddd")</f>
        <v>Tuesday</v>
      </c>
      <c r="C475" s="12">
        <v>45433</v>
      </c>
      <c r="D475" s="4">
        <v>0.79941217592592595</v>
      </c>
      <c r="E4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75" t="s">
        <v>7</v>
      </c>
      <c r="G475" s="2">
        <v>37.72</v>
      </c>
    </row>
    <row r="476" spans="1:7" x14ac:dyDescent="0.25">
      <c r="A4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240521-LAT001</v>
      </c>
      <c r="B476" s="1" t="str">
        <f>TEXT(Coffee_sales_clean[[#This Row],[Transaction Date]],"dddd")</f>
        <v>Tuesday</v>
      </c>
      <c r="C476" s="12">
        <v>45433</v>
      </c>
      <c r="D476" s="4">
        <v>0.84292081018518517</v>
      </c>
      <c r="E4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76" t="s">
        <v>7</v>
      </c>
      <c r="G476" s="2">
        <v>37.72</v>
      </c>
    </row>
    <row r="477" spans="1:7" x14ac:dyDescent="0.25">
      <c r="A4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240522-MOR001</v>
      </c>
      <c r="B477" s="1" t="str">
        <f>TEXT(Coffee_sales_clean[[#This Row],[Transaction Date]],"dddd")</f>
        <v>Wednesday</v>
      </c>
      <c r="C477" s="12">
        <v>45434</v>
      </c>
      <c r="D477" s="4">
        <v>0.39909511574074075</v>
      </c>
      <c r="E4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77" t="s">
        <v>7</v>
      </c>
      <c r="G477" s="2">
        <v>37.72</v>
      </c>
    </row>
    <row r="478" spans="1:7" x14ac:dyDescent="0.25">
      <c r="A4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240522-MOR002</v>
      </c>
      <c r="B478" s="1" t="str">
        <f>TEXT(Coffee_sales_clean[[#This Row],[Transaction Date]],"dddd")</f>
        <v>Wednesday</v>
      </c>
      <c r="C478" s="12">
        <v>45434</v>
      </c>
      <c r="D478" s="4">
        <v>0.45123893518518521</v>
      </c>
      <c r="E4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78" t="s">
        <v>3</v>
      </c>
      <c r="G478" s="2">
        <v>32.82</v>
      </c>
    </row>
    <row r="479" spans="1:7" x14ac:dyDescent="0.25">
      <c r="A4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240522-LUN001</v>
      </c>
      <c r="B479" s="1" t="str">
        <f>TEXT(Coffee_sales_clean[[#This Row],[Transaction Date]],"dddd")</f>
        <v>Wednesday</v>
      </c>
      <c r="C479" s="12">
        <v>45434</v>
      </c>
      <c r="D479" s="4">
        <v>0.47099843749999998</v>
      </c>
      <c r="E4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79" t="s">
        <v>5</v>
      </c>
      <c r="G479" s="2">
        <v>27.92</v>
      </c>
    </row>
    <row r="480" spans="1:7" x14ac:dyDescent="0.25">
      <c r="A4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240522-LUN002</v>
      </c>
      <c r="B480" s="1" t="str">
        <f>TEXT(Coffee_sales_clean[[#This Row],[Transaction Date]],"dddd")</f>
        <v>Wednesday</v>
      </c>
      <c r="C480" s="12">
        <v>45434</v>
      </c>
      <c r="D480" s="4">
        <v>0.48258064814814816</v>
      </c>
      <c r="E4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80" t="s">
        <v>3</v>
      </c>
      <c r="G480" s="2">
        <v>32.82</v>
      </c>
    </row>
    <row r="481" spans="1:7" x14ac:dyDescent="0.25">
      <c r="A4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240522-LUN003</v>
      </c>
      <c r="B481" s="1" t="str">
        <f>TEXT(Coffee_sales_clean[[#This Row],[Transaction Date]],"dddd")</f>
        <v>Wednesday</v>
      </c>
      <c r="C481" s="12">
        <v>45434</v>
      </c>
      <c r="D481" s="4">
        <v>0.52072732638888886</v>
      </c>
      <c r="E4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81" t="s">
        <v>2</v>
      </c>
      <c r="G481" s="2">
        <v>27.92</v>
      </c>
    </row>
    <row r="482" spans="1:7" x14ac:dyDescent="0.25">
      <c r="A4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240522-LUN004</v>
      </c>
      <c r="B482" s="1" t="str">
        <f>TEXT(Coffee_sales_clean[[#This Row],[Transaction Date]],"dddd")</f>
        <v>Wednesday</v>
      </c>
      <c r="C482" s="12">
        <v>45434</v>
      </c>
      <c r="D482" s="4">
        <v>0.5213350347222222</v>
      </c>
      <c r="E4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82" t="s">
        <v>2</v>
      </c>
      <c r="G482" s="2">
        <v>27.92</v>
      </c>
    </row>
    <row r="483" spans="1:7" x14ac:dyDescent="0.25">
      <c r="A4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240522-AFT001</v>
      </c>
      <c r="B483" s="1" t="str">
        <f>TEXT(Coffee_sales_clean[[#This Row],[Transaction Date]],"dddd")</f>
        <v>Wednesday</v>
      </c>
      <c r="C483" s="12">
        <v>45434</v>
      </c>
      <c r="D483" s="4">
        <v>0.5835705902777778</v>
      </c>
      <c r="E4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83" t="s">
        <v>3</v>
      </c>
      <c r="G483" s="2">
        <v>32.82</v>
      </c>
    </row>
    <row r="484" spans="1:7" x14ac:dyDescent="0.25">
      <c r="A4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240522-EVE001</v>
      </c>
      <c r="B484" s="1" t="str">
        <f>TEXT(Coffee_sales_clean[[#This Row],[Transaction Date]],"dddd")</f>
        <v>Wednesday</v>
      </c>
      <c r="C484" s="12">
        <v>45434</v>
      </c>
      <c r="D484" s="4">
        <v>0.8090057638888889</v>
      </c>
      <c r="E4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84" t="s">
        <v>7</v>
      </c>
      <c r="G484" s="2">
        <v>37.72</v>
      </c>
    </row>
    <row r="485" spans="1:7" x14ac:dyDescent="0.25">
      <c r="A4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240522-EVE002</v>
      </c>
      <c r="B485" s="1" t="str">
        <f>TEXT(Coffee_sales_clean[[#This Row],[Transaction Date]],"dddd")</f>
        <v>Wednesday</v>
      </c>
      <c r="C485" s="12">
        <v>45434</v>
      </c>
      <c r="D485" s="4">
        <v>0.80970571759259258</v>
      </c>
      <c r="E4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85" t="s">
        <v>7</v>
      </c>
      <c r="G485" s="2">
        <v>37.72</v>
      </c>
    </row>
    <row r="486" spans="1:7" x14ac:dyDescent="0.25">
      <c r="A4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240522-LAT001</v>
      </c>
      <c r="B486" s="1" t="str">
        <f>TEXT(Coffee_sales_clean[[#This Row],[Transaction Date]],"dddd")</f>
        <v>Wednesday</v>
      </c>
      <c r="C486" s="12">
        <v>45434</v>
      </c>
      <c r="D486" s="4">
        <v>0.89158564814814811</v>
      </c>
      <c r="E4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86" t="s">
        <v>1</v>
      </c>
      <c r="G486" s="2">
        <v>37.72</v>
      </c>
    </row>
    <row r="487" spans="1:7" x14ac:dyDescent="0.25">
      <c r="A4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240522-LAT002</v>
      </c>
      <c r="B487" s="1" t="str">
        <f>TEXT(Coffee_sales_clean[[#This Row],[Transaction Date]],"dddd")</f>
        <v>Wednesday</v>
      </c>
      <c r="C487" s="12">
        <v>45434</v>
      </c>
      <c r="D487" s="4">
        <v>0.89224055555555559</v>
      </c>
      <c r="E4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487" t="s">
        <v>7</v>
      </c>
      <c r="G487" s="2">
        <v>37.72</v>
      </c>
    </row>
    <row r="488" spans="1:7" x14ac:dyDescent="0.25">
      <c r="A4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240523-MOR001</v>
      </c>
      <c r="B488" s="1" t="str">
        <f>TEXT(Coffee_sales_clean[[#This Row],[Transaction Date]],"dddd")</f>
        <v>Thursday</v>
      </c>
      <c r="C488" s="12">
        <v>45435</v>
      </c>
      <c r="D488" s="4">
        <v>0.42383842592592591</v>
      </c>
      <c r="E4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488" t="s">
        <v>7</v>
      </c>
      <c r="G488" s="2">
        <v>37.72</v>
      </c>
    </row>
    <row r="489" spans="1:7" x14ac:dyDescent="0.25">
      <c r="A4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240523-LUN001</v>
      </c>
      <c r="B489" s="1" t="str">
        <f>TEXT(Coffee_sales_clean[[#This Row],[Transaction Date]],"dddd")</f>
        <v>Thursday</v>
      </c>
      <c r="C489" s="12">
        <v>45435</v>
      </c>
      <c r="D489" s="4">
        <v>0.51535422453703705</v>
      </c>
      <c r="E4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489" t="s">
        <v>6</v>
      </c>
      <c r="G489" s="2">
        <v>23.02</v>
      </c>
    </row>
    <row r="490" spans="1:7" x14ac:dyDescent="0.25">
      <c r="A4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240523-AFT001</v>
      </c>
      <c r="B490" s="1" t="str">
        <f>TEXT(Coffee_sales_clean[[#This Row],[Transaction Date]],"dddd")</f>
        <v>Thursday</v>
      </c>
      <c r="C490" s="12">
        <v>45435</v>
      </c>
      <c r="D490" s="4">
        <v>0.66338689814814811</v>
      </c>
      <c r="E4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90" t="s">
        <v>7</v>
      </c>
      <c r="G490" s="2">
        <v>37.72</v>
      </c>
    </row>
    <row r="491" spans="1:7" x14ac:dyDescent="0.25">
      <c r="A4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240523-AFT002</v>
      </c>
      <c r="B491" s="1" t="str">
        <f>TEXT(Coffee_sales_clean[[#This Row],[Transaction Date]],"dddd")</f>
        <v>Thursday</v>
      </c>
      <c r="C491" s="12">
        <v>45435</v>
      </c>
      <c r="D491" s="4">
        <v>0.6642041319444445</v>
      </c>
      <c r="E4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91" t="s">
        <v>7</v>
      </c>
      <c r="G491" s="2">
        <v>37.72</v>
      </c>
    </row>
    <row r="492" spans="1:7" x14ac:dyDescent="0.25">
      <c r="A4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240523-AFT003</v>
      </c>
      <c r="B492" s="1" t="str">
        <f>TEXT(Coffee_sales_clean[[#This Row],[Transaction Date]],"dddd")</f>
        <v>Thursday</v>
      </c>
      <c r="C492" s="12">
        <v>45435</v>
      </c>
      <c r="D492" s="4">
        <v>0.67932931712962963</v>
      </c>
      <c r="E4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92" t="s">
        <v>7</v>
      </c>
      <c r="G492" s="2">
        <v>37.72</v>
      </c>
    </row>
    <row r="493" spans="1:7" x14ac:dyDescent="0.25">
      <c r="A4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240523-AFT004</v>
      </c>
      <c r="B493" s="1" t="str">
        <f>TEXT(Coffee_sales_clean[[#This Row],[Transaction Date]],"dddd")</f>
        <v>Thursday</v>
      </c>
      <c r="C493" s="12">
        <v>45435</v>
      </c>
      <c r="D493" s="4">
        <v>0.69513938657407404</v>
      </c>
      <c r="E4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493" t="s">
        <v>0</v>
      </c>
      <c r="G493" s="2">
        <v>37.72</v>
      </c>
    </row>
    <row r="494" spans="1:7" x14ac:dyDescent="0.25">
      <c r="A4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240523-EVE001</v>
      </c>
      <c r="B494" s="1" t="str">
        <f>TEXT(Coffee_sales_clean[[#This Row],[Transaction Date]],"dddd")</f>
        <v>Thursday</v>
      </c>
      <c r="C494" s="12">
        <v>45435</v>
      </c>
      <c r="D494" s="4">
        <v>0.71844024305555554</v>
      </c>
      <c r="E4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94" t="s">
        <v>7</v>
      </c>
      <c r="G494" s="2">
        <v>37.72</v>
      </c>
    </row>
    <row r="495" spans="1:7" x14ac:dyDescent="0.25">
      <c r="A4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240523-EVE002</v>
      </c>
      <c r="B495" s="1" t="str">
        <f>TEXT(Coffee_sales_clean[[#This Row],[Transaction Date]],"dddd")</f>
        <v>Thursday</v>
      </c>
      <c r="C495" s="12">
        <v>45435</v>
      </c>
      <c r="D495" s="4">
        <v>0.71926922453703701</v>
      </c>
      <c r="E4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95" t="s">
        <v>0</v>
      </c>
      <c r="G495" s="2">
        <v>37.72</v>
      </c>
    </row>
    <row r="496" spans="1:7" x14ac:dyDescent="0.25">
      <c r="A4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240523-EVE003</v>
      </c>
      <c r="B496" s="1" t="str">
        <f>TEXT(Coffee_sales_clean[[#This Row],[Transaction Date]],"dddd")</f>
        <v>Thursday</v>
      </c>
      <c r="C496" s="12">
        <v>45435</v>
      </c>
      <c r="D496" s="4">
        <v>0.79437333333333338</v>
      </c>
      <c r="E4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96" t="s">
        <v>5</v>
      </c>
      <c r="G496" s="2">
        <v>27.92</v>
      </c>
    </row>
    <row r="497" spans="1:7" x14ac:dyDescent="0.25">
      <c r="A4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240523-EVE004</v>
      </c>
      <c r="B497" s="1" t="str">
        <f>TEXT(Coffee_sales_clean[[#This Row],[Transaction Date]],"dddd")</f>
        <v>Thursday</v>
      </c>
      <c r="C497" s="12">
        <v>45435</v>
      </c>
      <c r="D497" s="4">
        <v>0.80380128472222223</v>
      </c>
      <c r="E4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97" t="s">
        <v>7</v>
      </c>
      <c r="G497" s="2">
        <v>37.72</v>
      </c>
    </row>
    <row r="498" spans="1:7" x14ac:dyDescent="0.25">
      <c r="A4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240523-EVE005</v>
      </c>
      <c r="B498" s="1" t="str">
        <f>TEXT(Coffee_sales_clean[[#This Row],[Transaction Date]],"dddd")</f>
        <v>Thursday</v>
      </c>
      <c r="C498" s="12">
        <v>45435</v>
      </c>
      <c r="D498" s="4">
        <v>0.80447243055555551</v>
      </c>
      <c r="E4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98" t="s">
        <v>7</v>
      </c>
      <c r="G498" s="2">
        <v>37.72</v>
      </c>
    </row>
    <row r="499" spans="1:7" x14ac:dyDescent="0.25">
      <c r="A4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240523-EVE006</v>
      </c>
      <c r="B499" s="1" t="str">
        <f>TEXT(Coffee_sales_clean[[#This Row],[Transaction Date]],"dddd")</f>
        <v>Thursday</v>
      </c>
      <c r="C499" s="12">
        <v>45435</v>
      </c>
      <c r="D499" s="4">
        <v>0.82119844907407402</v>
      </c>
      <c r="E4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499" t="s">
        <v>7</v>
      </c>
      <c r="G499" s="2">
        <v>37.72</v>
      </c>
    </row>
    <row r="500" spans="1:7" x14ac:dyDescent="0.25">
      <c r="A5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240523-LAT001</v>
      </c>
      <c r="B500" s="1" t="str">
        <f>TEXT(Coffee_sales_clean[[#This Row],[Transaction Date]],"dddd")</f>
        <v>Thursday</v>
      </c>
      <c r="C500" s="12">
        <v>45435</v>
      </c>
      <c r="D500" s="4">
        <v>0.84376653935185186</v>
      </c>
      <c r="E5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00" t="s">
        <v>7</v>
      </c>
      <c r="G500" s="2">
        <v>37.72</v>
      </c>
    </row>
    <row r="501" spans="1:7" x14ac:dyDescent="0.25">
      <c r="A5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240523-LAT002</v>
      </c>
      <c r="B501" s="1" t="str">
        <f>TEXT(Coffee_sales_clean[[#This Row],[Transaction Date]],"dddd")</f>
        <v>Thursday</v>
      </c>
      <c r="C501" s="12">
        <v>45435</v>
      </c>
      <c r="D501" s="4">
        <v>0.84472459490740737</v>
      </c>
      <c r="E5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01" t="s">
        <v>0</v>
      </c>
      <c r="G501" s="2">
        <v>37.72</v>
      </c>
    </row>
    <row r="502" spans="1:7" x14ac:dyDescent="0.25">
      <c r="A5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240523-LAT003</v>
      </c>
      <c r="B502" s="1" t="str">
        <f>TEXT(Coffee_sales_clean[[#This Row],[Transaction Date]],"dddd")</f>
        <v>Thursday</v>
      </c>
      <c r="C502" s="12">
        <v>45435</v>
      </c>
      <c r="D502" s="4">
        <v>0.95012515046296298</v>
      </c>
      <c r="E5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02" t="s">
        <v>3</v>
      </c>
      <c r="G502" s="2">
        <v>32.82</v>
      </c>
    </row>
    <row r="503" spans="1:7" x14ac:dyDescent="0.25">
      <c r="A5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240524-LUN001</v>
      </c>
      <c r="B503" s="1" t="str">
        <f>TEXT(Coffee_sales_clean[[#This Row],[Transaction Date]],"dddd")</f>
        <v>Friday</v>
      </c>
      <c r="C503" s="12">
        <v>45436</v>
      </c>
      <c r="D503" s="4">
        <v>0.46665719907407405</v>
      </c>
      <c r="E5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03" t="s">
        <v>5</v>
      </c>
      <c r="G503" s="2">
        <v>27.92</v>
      </c>
    </row>
    <row r="504" spans="1:7" x14ac:dyDescent="0.25">
      <c r="A5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240524-LUN002</v>
      </c>
      <c r="B504" s="1" t="str">
        <f>TEXT(Coffee_sales_clean[[#This Row],[Transaction Date]],"dddd")</f>
        <v>Friday</v>
      </c>
      <c r="C504" s="12">
        <v>45436</v>
      </c>
      <c r="D504" s="4">
        <v>0.46884653935185183</v>
      </c>
      <c r="E5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04" t="s">
        <v>2</v>
      </c>
      <c r="G504" s="2">
        <v>27.92</v>
      </c>
    </row>
    <row r="505" spans="1:7" x14ac:dyDescent="0.25">
      <c r="A5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240524-LUN003</v>
      </c>
      <c r="B505" s="1" t="str">
        <f>TEXT(Coffee_sales_clean[[#This Row],[Transaction Date]],"dddd")</f>
        <v>Friday</v>
      </c>
      <c r="C505" s="12">
        <v>45436</v>
      </c>
      <c r="D505" s="4">
        <v>0.46959509259259258</v>
      </c>
      <c r="E5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05" t="s">
        <v>2</v>
      </c>
      <c r="G505" s="2">
        <v>27.92</v>
      </c>
    </row>
    <row r="506" spans="1:7" x14ac:dyDescent="0.25">
      <c r="A5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240524-AFT001</v>
      </c>
      <c r="B506" s="1" t="str">
        <f>TEXT(Coffee_sales_clean[[#This Row],[Transaction Date]],"dddd")</f>
        <v>Friday</v>
      </c>
      <c r="C506" s="12">
        <v>45436</v>
      </c>
      <c r="D506" s="4">
        <v>0.67175712962962963</v>
      </c>
      <c r="E5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06" t="s">
        <v>1</v>
      </c>
      <c r="G506" s="2">
        <v>37.72</v>
      </c>
    </row>
    <row r="507" spans="1:7" x14ac:dyDescent="0.25">
      <c r="A5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240524-EVE001</v>
      </c>
      <c r="B507" s="1" t="str">
        <f>TEXT(Coffee_sales_clean[[#This Row],[Transaction Date]],"dddd")</f>
        <v>Friday</v>
      </c>
      <c r="C507" s="12">
        <v>45436</v>
      </c>
      <c r="D507" s="4">
        <v>0.76227233796296301</v>
      </c>
      <c r="E5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07" t="s">
        <v>5</v>
      </c>
      <c r="G507" s="2">
        <v>27.92</v>
      </c>
    </row>
    <row r="508" spans="1:7" x14ac:dyDescent="0.25">
      <c r="A5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240524-EVE002</v>
      </c>
      <c r="B508" s="1" t="str">
        <f>TEXT(Coffee_sales_clean[[#This Row],[Transaction Date]],"dddd")</f>
        <v>Friday</v>
      </c>
      <c r="C508" s="12">
        <v>45436</v>
      </c>
      <c r="D508" s="4">
        <v>0.76292474537037036</v>
      </c>
      <c r="E5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08" t="s">
        <v>5</v>
      </c>
      <c r="G508" s="2">
        <v>27.92</v>
      </c>
    </row>
    <row r="509" spans="1:7" x14ac:dyDescent="0.25">
      <c r="A5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240524-LAT001</v>
      </c>
      <c r="B509" s="1" t="str">
        <f>TEXT(Coffee_sales_clean[[#This Row],[Transaction Date]],"dddd")</f>
        <v>Friday</v>
      </c>
      <c r="C509" s="12">
        <v>45436</v>
      </c>
      <c r="D509" s="4">
        <v>0.93796525462962965</v>
      </c>
      <c r="E5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09" t="s">
        <v>3</v>
      </c>
      <c r="G509" s="2">
        <v>32.82</v>
      </c>
    </row>
    <row r="510" spans="1:7" x14ac:dyDescent="0.25">
      <c r="A5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240525-LUN001</v>
      </c>
      <c r="B510" s="1" t="str">
        <f>TEXT(Coffee_sales_clean[[#This Row],[Transaction Date]],"dddd")</f>
        <v>Saturday</v>
      </c>
      <c r="C510" s="12">
        <v>45437</v>
      </c>
      <c r="D510" s="4">
        <v>0.50964569444444441</v>
      </c>
      <c r="E5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10" t="s">
        <v>0</v>
      </c>
      <c r="G510" s="2">
        <v>37.72</v>
      </c>
    </row>
    <row r="511" spans="1:7" x14ac:dyDescent="0.25">
      <c r="A5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240525-LUN002</v>
      </c>
      <c r="B511" s="1" t="str">
        <f>TEXT(Coffee_sales_clean[[#This Row],[Transaction Date]],"dddd")</f>
        <v>Saturday</v>
      </c>
      <c r="C511" s="12">
        <v>45437</v>
      </c>
      <c r="D511" s="4">
        <v>0.52928539351851855</v>
      </c>
      <c r="E5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11" t="s">
        <v>3</v>
      </c>
      <c r="G511" s="2">
        <v>32.82</v>
      </c>
    </row>
    <row r="512" spans="1:7" x14ac:dyDescent="0.25">
      <c r="A5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240525-LUN003</v>
      </c>
      <c r="B512" s="1" t="str">
        <f>TEXT(Coffee_sales_clean[[#This Row],[Transaction Date]],"dddd")</f>
        <v>Saturday</v>
      </c>
      <c r="C512" s="12">
        <v>45437</v>
      </c>
      <c r="D512" s="4">
        <v>0.53001475694444444</v>
      </c>
      <c r="E5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12" t="s">
        <v>3</v>
      </c>
      <c r="G512" s="2">
        <v>32.82</v>
      </c>
    </row>
    <row r="513" spans="1:7" x14ac:dyDescent="0.25">
      <c r="A5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240525-LUN004</v>
      </c>
      <c r="B513" s="1" t="str">
        <f>TEXT(Coffee_sales_clean[[#This Row],[Transaction Date]],"dddd")</f>
        <v>Saturday</v>
      </c>
      <c r="C513" s="12">
        <v>45437</v>
      </c>
      <c r="D513" s="4">
        <v>0.54041723379629625</v>
      </c>
      <c r="E5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13" t="s">
        <v>3</v>
      </c>
      <c r="G513" s="2">
        <v>32.82</v>
      </c>
    </row>
    <row r="514" spans="1:7" x14ac:dyDescent="0.25">
      <c r="A5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240525-AFT001</v>
      </c>
      <c r="B514" s="1" t="str">
        <f>TEXT(Coffee_sales_clean[[#This Row],[Transaction Date]],"dddd")</f>
        <v>Saturday</v>
      </c>
      <c r="C514" s="12">
        <v>45437</v>
      </c>
      <c r="D514" s="4">
        <v>0.69941616898148151</v>
      </c>
      <c r="E5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14" t="s">
        <v>3</v>
      </c>
      <c r="G514" s="2">
        <v>32.82</v>
      </c>
    </row>
    <row r="515" spans="1:7" x14ac:dyDescent="0.25">
      <c r="A5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240525-AFT002</v>
      </c>
      <c r="B515" s="1" t="str">
        <f>TEXT(Coffee_sales_clean[[#This Row],[Transaction Date]],"dddd")</f>
        <v>Saturday</v>
      </c>
      <c r="C515" s="12">
        <v>45437</v>
      </c>
      <c r="D515" s="4">
        <v>0.700194837962963</v>
      </c>
      <c r="E5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15" t="s">
        <v>2</v>
      </c>
      <c r="G515" s="2">
        <v>27.92</v>
      </c>
    </row>
    <row r="516" spans="1:7" x14ac:dyDescent="0.25">
      <c r="A5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240526-MOR001</v>
      </c>
      <c r="B516" s="1" t="str">
        <f>TEXT(Coffee_sales_clean[[#This Row],[Transaction Date]],"dddd")</f>
        <v>Sunday</v>
      </c>
      <c r="C516" s="12">
        <v>45438</v>
      </c>
      <c r="D516" s="4">
        <v>0.43058140046296295</v>
      </c>
      <c r="E5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16" t="s">
        <v>0</v>
      </c>
      <c r="G516" s="2">
        <v>37.72</v>
      </c>
    </row>
    <row r="517" spans="1:7" x14ac:dyDescent="0.25">
      <c r="A5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240526-AFT001</v>
      </c>
      <c r="B517" s="1" t="str">
        <f>TEXT(Coffee_sales_clean[[#This Row],[Transaction Date]],"dddd")</f>
        <v>Sunday</v>
      </c>
      <c r="C517" s="12">
        <v>45438</v>
      </c>
      <c r="D517" s="4">
        <v>0.60057652777777781</v>
      </c>
      <c r="E5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17" t="s">
        <v>3</v>
      </c>
      <c r="G517" s="2">
        <v>32.82</v>
      </c>
    </row>
    <row r="518" spans="1:7" x14ac:dyDescent="0.25">
      <c r="A5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240526-AFT002</v>
      </c>
      <c r="B518" s="1" t="str">
        <f>TEXT(Coffee_sales_clean[[#This Row],[Transaction Date]],"dddd")</f>
        <v>Sunday</v>
      </c>
      <c r="C518" s="12">
        <v>45438</v>
      </c>
      <c r="D518" s="4">
        <v>0.60144962962962967</v>
      </c>
      <c r="E5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18" t="s">
        <v>5</v>
      </c>
      <c r="G518" s="2">
        <v>27.92</v>
      </c>
    </row>
    <row r="519" spans="1:7" x14ac:dyDescent="0.25">
      <c r="A5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240526-AFT003</v>
      </c>
      <c r="B519" s="1" t="str">
        <f>TEXT(Coffee_sales_clean[[#This Row],[Transaction Date]],"dddd")</f>
        <v>Sunday</v>
      </c>
      <c r="C519" s="12">
        <v>45438</v>
      </c>
      <c r="D519" s="4">
        <v>0.61179261574074073</v>
      </c>
      <c r="E5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19" t="s">
        <v>3</v>
      </c>
      <c r="G519" s="2">
        <v>32.82</v>
      </c>
    </row>
    <row r="520" spans="1:7" x14ac:dyDescent="0.25">
      <c r="A5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240526-EVE001</v>
      </c>
      <c r="B520" s="1" t="str">
        <f>TEXT(Coffee_sales_clean[[#This Row],[Transaction Date]],"dddd")</f>
        <v>Sunday</v>
      </c>
      <c r="C520" s="12">
        <v>45438</v>
      </c>
      <c r="D520" s="4">
        <v>0.7217074189814815</v>
      </c>
      <c r="E5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20" t="s">
        <v>7</v>
      </c>
      <c r="G520" s="2">
        <v>37.72</v>
      </c>
    </row>
    <row r="521" spans="1:7" x14ac:dyDescent="0.25">
      <c r="A5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240526-EVE002</v>
      </c>
      <c r="B521" s="1" t="str">
        <f>TEXT(Coffee_sales_clean[[#This Row],[Transaction Date]],"dddd")</f>
        <v>Sunday</v>
      </c>
      <c r="C521" s="12">
        <v>45438</v>
      </c>
      <c r="D521" s="4">
        <v>0.75686160879629627</v>
      </c>
      <c r="E5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21" t="s">
        <v>1</v>
      </c>
      <c r="G521" s="2">
        <v>37.72</v>
      </c>
    </row>
    <row r="522" spans="1:7" x14ac:dyDescent="0.25">
      <c r="A5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240526-EVE003</v>
      </c>
      <c r="B522" s="1" t="str">
        <f>TEXT(Coffee_sales_clean[[#This Row],[Transaction Date]],"dddd")</f>
        <v>Sunday</v>
      </c>
      <c r="C522" s="12">
        <v>45438</v>
      </c>
      <c r="D522" s="4">
        <v>0.75766439814814812</v>
      </c>
      <c r="E5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22" t="s">
        <v>1</v>
      </c>
      <c r="G522" s="2">
        <v>37.72</v>
      </c>
    </row>
    <row r="523" spans="1:7" x14ac:dyDescent="0.25">
      <c r="A5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240526-EVE004</v>
      </c>
      <c r="B523" s="1" t="str">
        <f>TEXT(Coffee_sales_clean[[#This Row],[Transaction Date]],"dddd")</f>
        <v>Sunday</v>
      </c>
      <c r="C523" s="12">
        <v>45438</v>
      </c>
      <c r="D523" s="4">
        <v>0.759193275462963</v>
      </c>
      <c r="E5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23" t="s">
        <v>2</v>
      </c>
      <c r="G523" s="2">
        <v>27.92</v>
      </c>
    </row>
    <row r="524" spans="1:7" x14ac:dyDescent="0.25">
      <c r="A5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240526-EVE005</v>
      </c>
      <c r="B524" s="1" t="str">
        <f>TEXT(Coffee_sales_clean[[#This Row],[Transaction Date]],"dddd")</f>
        <v>Sunday</v>
      </c>
      <c r="C524" s="12">
        <v>45438</v>
      </c>
      <c r="D524" s="4">
        <v>0.77730085648148151</v>
      </c>
      <c r="E5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24" t="s">
        <v>0</v>
      </c>
      <c r="G524" s="2">
        <v>37.72</v>
      </c>
    </row>
    <row r="525" spans="1:7" x14ac:dyDescent="0.25">
      <c r="A5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240526-LAT001</v>
      </c>
      <c r="B525" s="1" t="str">
        <f>TEXT(Coffee_sales_clean[[#This Row],[Transaction Date]],"dddd")</f>
        <v>Sunday</v>
      </c>
      <c r="C525" s="12">
        <v>45438</v>
      </c>
      <c r="D525" s="4">
        <v>0.87447863425925931</v>
      </c>
      <c r="E5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25" t="s">
        <v>1</v>
      </c>
      <c r="G525" s="2">
        <v>37.72</v>
      </c>
    </row>
    <row r="526" spans="1:7" x14ac:dyDescent="0.25">
      <c r="A5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240526-LAT002</v>
      </c>
      <c r="B526" s="1" t="str">
        <f>TEXT(Coffee_sales_clean[[#This Row],[Transaction Date]],"dddd")</f>
        <v>Sunday</v>
      </c>
      <c r="C526" s="12">
        <v>45438</v>
      </c>
      <c r="D526" s="4">
        <v>0.87506444444444442</v>
      </c>
      <c r="E5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26" t="s">
        <v>7</v>
      </c>
      <c r="G526" s="2">
        <v>37.72</v>
      </c>
    </row>
    <row r="527" spans="1:7" x14ac:dyDescent="0.25">
      <c r="A5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240526-LAT003</v>
      </c>
      <c r="B527" s="1" t="str">
        <f>TEXT(Coffee_sales_clean[[#This Row],[Transaction Date]],"dddd")</f>
        <v>Sunday</v>
      </c>
      <c r="C527" s="12">
        <v>45438</v>
      </c>
      <c r="D527" s="4">
        <v>0.87681637731481477</v>
      </c>
      <c r="E5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27" t="s">
        <v>5</v>
      </c>
      <c r="G527" s="2">
        <v>27.92</v>
      </c>
    </row>
    <row r="528" spans="1:7" x14ac:dyDescent="0.25">
      <c r="A5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240526-LAT004</v>
      </c>
      <c r="B528" s="1" t="str">
        <f>TEXT(Coffee_sales_clean[[#This Row],[Transaction Date]],"dddd")</f>
        <v>Sunday</v>
      </c>
      <c r="C528" s="12">
        <v>45438</v>
      </c>
      <c r="D528" s="4">
        <v>0.87768254629629627</v>
      </c>
      <c r="E5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28" t="s">
        <v>7</v>
      </c>
      <c r="G528" s="2">
        <v>37.72</v>
      </c>
    </row>
    <row r="529" spans="1:7" x14ac:dyDescent="0.25">
      <c r="A5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240526-LAT005</v>
      </c>
      <c r="B529" s="1" t="str">
        <f>TEXT(Coffee_sales_clean[[#This Row],[Transaction Date]],"dddd")</f>
        <v>Sunday</v>
      </c>
      <c r="C529" s="12">
        <v>45438</v>
      </c>
      <c r="D529" s="4">
        <v>0.87845861111111112</v>
      </c>
      <c r="E5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29" t="s">
        <v>0</v>
      </c>
      <c r="G529" s="2">
        <v>37.72</v>
      </c>
    </row>
    <row r="530" spans="1:7" x14ac:dyDescent="0.25">
      <c r="A5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240526-LAT006</v>
      </c>
      <c r="B530" s="1" t="str">
        <f>TEXT(Coffee_sales_clean[[#This Row],[Transaction Date]],"dddd")</f>
        <v>Sunday</v>
      </c>
      <c r="C530" s="12">
        <v>45438</v>
      </c>
      <c r="D530" s="4">
        <v>0.87919700231481479</v>
      </c>
      <c r="E5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30" t="s">
        <v>7</v>
      </c>
      <c r="G530" s="2">
        <v>37.72</v>
      </c>
    </row>
    <row r="531" spans="1:7" x14ac:dyDescent="0.25">
      <c r="A5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240527-LUN001</v>
      </c>
      <c r="B531" s="1" t="str">
        <f>TEXT(Coffee_sales_clean[[#This Row],[Transaction Date]],"dddd")</f>
        <v>Monday</v>
      </c>
      <c r="C531" s="12">
        <v>45439</v>
      </c>
      <c r="D531" s="4">
        <v>0.48258393518518516</v>
      </c>
      <c r="E5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31" t="s">
        <v>2</v>
      </c>
      <c r="G531" s="2">
        <v>27.92</v>
      </c>
    </row>
    <row r="532" spans="1:7" x14ac:dyDescent="0.25">
      <c r="A5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240527-AFT001</v>
      </c>
      <c r="B532" s="1" t="str">
        <f>TEXT(Coffee_sales_clean[[#This Row],[Transaction Date]],"dddd")</f>
        <v>Monday</v>
      </c>
      <c r="C532" s="12">
        <v>45439</v>
      </c>
      <c r="D532" s="4">
        <v>0.58705657407407408</v>
      </c>
      <c r="E5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32" t="s">
        <v>3</v>
      </c>
      <c r="G532" s="2">
        <v>32.82</v>
      </c>
    </row>
    <row r="533" spans="1:7" x14ac:dyDescent="0.25">
      <c r="A5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240527-AFT002</v>
      </c>
      <c r="B533" s="1" t="str">
        <f>TEXT(Coffee_sales_clean[[#This Row],[Transaction Date]],"dddd")</f>
        <v>Monday</v>
      </c>
      <c r="C533" s="12">
        <v>45439</v>
      </c>
      <c r="D533" s="4">
        <v>0.58800421296296301</v>
      </c>
      <c r="E5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33" t="s">
        <v>4</v>
      </c>
      <c r="G533" s="2">
        <v>37.72</v>
      </c>
    </row>
    <row r="534" spans="1:7" x14ac:dyDescent="0.25">
      <c r="A5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240527-AFT003</v>
      </c>
      <c r="B534" s="1" t="str">
        <f>TEXT(Coffee_sales_clean[[#This Row],[Transaction Date]],"dddd")</f>
        <v>Monday</v>
      </c>
      <c r="C534" s="12">
        <v>45439</v>
      </c>
      <c r="D534" s="4">
        <v>0.63303311342592594</v>
      </c>
      <c r="E5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34" t="s">
        <v>2</v>
      </c>
      <c r="G534" s="2">
        <v>27.92</v>
      </c>
    </row>
    <row r="535" spans="1:7" x14ac:dyDescent="0.25">
      <c r="A5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240527-AFT004</v>
      </c>
      <c r="B535" s="1" t="str">
        <f>TEXT(Coffee_sales_clean[[#This Row],[Transaction Date]],"dddd")</f>
        <v>Monday</v>
      </c>
      <c r="C535" s="12">
        <v>45439</v>
      </c>
      <c r="D535" s="4">
        <v>0.63478921296296298</v>
      </c>
      <c r="E5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35" t="s">
        <v>2</v>
      </c>
      <c r="G535" s="2">
        <v>27.92</v>
      </c>
    </row>
    <row r="536" spans="1:7" x14ac:dyDescent="0.25">
      <c r="A5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240527-EVE001</v>
      </c>
      <c r="B536" s="1" t="str">
        <f>TEXT(Coffee_sales_clean[[#This Row],[Transaction Date]],"dddd")</f>
        <v>Monday</v>
      </c>
      <c r="C536" s="12">
        <v>45439</v>
      </c>
      <c r="D536" s="4">
        <v>0.74370096064814817</v>
      </c>
      <c r="E5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36" t="s">
        <v>0</v>
      </c>
      <c r="G536" s="2">
        <v>37.72</v>
      </c>
    </row>
    <row r="537" spans="1:7" x14ac:dyDescent="0.25">
      <c r="A5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240527-EVE002</v>
      </c>
      <c r="B537" s="1" t="str">
        <f>TEXT(Coffee_sales_clean[[#This Row],[Transaction Date]],"dddd")</f>
        <v>Monday</v>
      </c>
      <c r="C537" s="12">
        <v>45439</v>
      </c>
      <c r="D537" s="4">
        <v>0.75059008101851854</v>
      </c>
      <c r="E5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37" t="s">
        <v>2</v>
      </c>
      <c r="G537" s="2">
        <v>27.92</v>
      </c>
    </row>
    <row r="538" spans="1:7" x14ac:dyDescent="0.25">
      <c r="A5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240527-EVE003</v>
      </c>
      <c r="B538" s="1" t="str">
        <f>TEXT(Coffee_sales_clean[[#This Row],[Transaction Date]],"dddd")</f>
        <v>Monday</v>
      </c>
      <c r="C538" s="12">
        <v>45439</v>
      </c>
      <c r="D538" s="4">
        <v>0.80309495370370365</v>
      </c>
      <c r="E5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38" t="s">
        <v>0</v>
      </c>
      <c r="G538" s="2">
        <v>37.72</v>
      </c>
    </row>
    <row r="539" spans="1:7" x14ac:dyDescent="0.25">
      <c r="A5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240527-EVE004</v>
      </c>
      <c r="B539" s="1" t="str">
        <f>TEXT(Coffee_sales_clean[[#This Row],[Transaction Date]],"dddd")</f>
        <v>Monday</v>
      </c>
      <c r="C539" s="12">
        <v>45439</v>
      </c>
      <c r="D539" s="4">
        <v>0.80392047453703708</v>
      </c>
      <c r="E5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39" t="s">
        <v>0</v>
      </c>
      <c r="G539" s="2">
        <v>37.72</v>
      </c>
    </row>
    <row r="540" spans="1:7" x14ac:dyDescent="0.25">
      <c r="A5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240527-LAT001</v>
      </c>
      <c r="B540" s="1" t="str">
        <f>TEXT(Coffee_sales_clean[[#This Row],[Transaction Date]],"dddd")</f>
        <v>Monday</v>
      </c>
      <c r="C540" s="12">
        <v>45439</v>
      </c>
      <c r="D540" s="4">
        <v>0.89522089120370374</v>
      </c>
      <c r="E5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40" t="s">
        <v>3</v>
      </c>
      <c r="G540" s="2">
        <v>32.82</v>
      </c>
    </row>
    <row r="541" spans="1:7" x14ac:dyDescent="0.25">
      <c r="A5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240527-LAT002</v>
      </c>
      <c r="B541" s="1" t="str">
        <f>TEXT(Coffee_sales_clean[[#This Row],[Transaction Date]],"dddd")</f>
        <v>Monday</v>
      </c>
      <c r="C541" s="12">
        <v>45439</v>
      </c>
      <c r="D541" s="4">
        <v>0.89606217592592596</v>
      </c>
      <c r="E5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41" t="s">
        <v>7</v>
      </c>
      <c r="G541" s="2">
        <v>37.72</v>
      </c>
    </row>
    <row r="542" spans="1:7" x14ac:dyDescent="0.25">
      <c r="A5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240528-MOR001</v>
      </c>
      <c r="B542" s="1" t="str">
        <f>TEXT(Coffee_sales_clean[[#This Row],[Transaction Date]],"dddd")</f>
        <v>Tuesday</v>
      </c>
      <c r="C542" s="12">
        <v>45440</v>
      </c>
      <c r="D542" s="4">
        <v>0.35913226851851854</v>
      </c>
      <c r="E5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42" t="s">
        <v>3</v>
      </c>
      <c r="G542" s="2">
        <v>32.82</v>
      </c>
    </row>
    <row r="543" spans="1:7" x14ac:dyDescent="0.25">
      <c r="A5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240528-MOR002</v>
      </c>
      <c r="B543" s="1" t="str">
        <f>TEXT(Coffee_sales_clean[[#This Row],[Transaction Date]],"dddd")</f>
        <v>Tuesday</v>
      </c>
      <c r="C543" s="12">
        <v>45440</v>
      </c>
      <c r="D543" s="4">
        <v>0.38901314814814814</v>
      </c>
      <c r="E5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43" t="s">
        <v>3</v>
      </c>
      <c r="G543" s="2">
        <v>32.82</v>
      </c>
    </row>
    <row r="544" spans="1:7" x14ac:dyDescent="0.25">
      <c r="A5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240528-LUN001</v>
      </c>
      <c r="B544" s="1" t="str">
        <f>TEXT(Coffee_sales_clean[[#This Row],[Transaction Date]],"dddd")</f>
        <v>Tuesday</v>
      </c>
      <c r="C544" s="12">
        <v>45440</v>
      </c>
      <c r="D544" s="4">
        <v>0.49188071759259261</v>
      </c>
      <c r="E5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44" t="s">
        <v>7</v>
      </c>
      <c r="G544" s="2">
        <v>37.72</v>
      </c>
    </row>
    <row r="545" spans="1:7" x14ac:dyDescent="0.25">
      <c r="A5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240528-LUN002</v>
      </c>
      <c r="B545" s="1" t="str">
        <f>TEXT(Coffee_sales_clean[[#This Row],[Transaction Date]],"dddd")</f>
        <v>Tuesday</v>
      </c>
      <c r="C545" s="12">
        <v>45440</v>
      </c>
      <c r="D545" s="4">
        <v>0.55185688657407406</v>
      </c>
      <c r="E5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45" t="s">
        <v>7</v>
      </c>
      <c r="G545" s="2">
        <v>37.72</v>
      </c>
    </row>
    <row r="546" spans="1:7" x14ac:dyDescent="0.25">
      <c r="A5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240528-AFT001</v>
      </c>
      <c r="B546" s="1" t="str">
        <f>TEXT(Coffee_sales_clean[[#This Row],[Transaction Date]],"dddd")</f>
        <v>Tuesday</v>
      </c>
      <c r="C546" s="12">
        <v>45440</v>
      </c>
      <c r="D546" s="4">
        <v>0.59089920138888885</v>
      </c>
      <c r="E5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46" t="s">
        <v>4</v>
      </c>
      <c r="G546" s="2">
        <v>37.72</v>
      </c>
    </row>
    <row r="547" spans="1:7" x14ac:dyDescent="0.25">
      <c r="A5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240528-AFT002</v>
      </c>
      <c r="B547" s="1" t="str">
        <f>TEXT(Coffee_sales_clean[[#This Row],[Transaction Date]],"dddd")</f>
        <v>Tuesday</v>
      </c>
      <c r="C547" s="12">
        <v>45440</v>
      </c>
      <c r="D547" s="4">
        <v>0.68448298611111114</v>
      </c>
      <c r="E5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47" t="s">
        <v>5</v>
      </c>
      <c r="G547" s="2">
        <v>27.92</v>
      </c>
    </row>
    <row r="548" spans="1:7" x14ac:dyDescent="0.25">
      <c r="A5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240528-EVE001</v>
      </c>
      <c r="B548" s="1" t="str">
        <f>TEXT(Coffee_sales_clean[[#This Row],[Transaction Date]],"dddd")</f>
        <v>Tuesday</v>
      </c>
      <c r="C548" s="12">
        <v>45440</v>
      </c>
      <c r="D548" s="4">
        <v>0.79825311342592598</v>
      </c>
      <c r="E5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48" t="s">
        <v>2</v>
      </c>
      <c r="G548" s="2">
        <v>27.92</v>
      </c>
    </row>
    <row r="549" spans="1:7" x14ac:dyDescent="0.25">
      <c r="A5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240528-EVE002</v>
      </c>
      <c r="B549" s="1" t="str">
        <f>TEXT(Coffee_sales_clean[[#This Row],[Transaction Date]],"dddd")</f>
        <v>Tuesday</v>
      </c>
      <c r="C549" s="12">
        <v>45440</v>
      </c>
      <c r="D549" s="4">
        <v>0.79897071759259264</v>
      </c>
      <c r="E5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49" t="s">
        <v>0</v>
      </c>
      <c r="G549" s="2">
        <v>37.72</v>
      </c>
    </row>
    <row r="550" spans="1:7" x14ac:dyDescent="0.25">
      <c r="A5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240528-LAT001</v>
      </c>
      <c r="B550" s="1" t="str">
        <f>TEXT(Coffee_sales_clean[[#This Row],[Transaction Date]],"dddd")</f>
        <v>Tuesday</v>
      </c>
      <c r="C550" s="12">
        <v>45440</v>
      </c>
      <c r="D550" s="4">
        <v>0.85037274305555555</v>
      </c>
      <c r="E5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50" t="s">
        <v>3</v>
      </c>
      <c r="G550" s="2">
        <v>32.82</v>
      </c>
    </row>
    <row r="551" spans="1:7" x14ac:dyDescent="0.25">
      <c r="A5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240528-LAT002</v>
      </c>
      <c r="B551" s="1" t="str">
        <f>TEXT(Coffee_sales_clean[[#This Row],[Transaction Date]],"dddd")</f>
        <v>Tuesday</v>
      </c>
      <c r="C551" s="12">
        <v>45440</v>
      </c>
      <c r="D551" s="4">
        <v>0.86828065972222224</v>
      </c>
      <c r="E5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51" t="s">
        <v>2</v>
      </c>
      <c r="G551" s="2">
        <v>27.92</v>
      </c>
    </row>
    <row r="552" spans="1:7" x14ac:dyDescent="0.25">
      <c r="A5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240529-MOR001</v>
      </c>
      <c r="B552" s="1" t="str">
        <f>TEXT(Coffee_sales_clean[[#This Row],[Transaction Date]],"dddd")</f>
        <v>Wednesday</v>
      </c>
      <c r="C552" s="12">
        <v>45441</v>
      </c>
      <c r="D552" s="4">
        <v>0.38522805555555556</v>
      </c>
      <c r="E5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52" t="s">
        <v>0</v>
      </c>
      <c r="G552" s="2">
        <v>37.72</v>
      </c>
    </row>
    <row r="553" spans="1:7" x14ac:dyDescent="0.25">
      <c r="A5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240529-LUN001</v>
      </c>
      <c r="B553" s="1" t="str">
        <f>TEXT(Coffee_sales_clean[[#This Row],[Transaction Date]],"dddd")</f>
        <v>Wednesday</v>
      </c>
      <c r="C553" s="12">
        <v>45441</v>
      </c>
      <c r="D553" s="4">
        <v>0.46808859953703702</v>
      </c>
      <c r="E5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53" t="s">
        <v>1</v>
      </c>
      <c r="G553" s="2">
        <v>37.72</v>
      </c>
    </row>
    <row r="554" spans="1:7" x14ac:dyDescent="0.25">
      <c r="A5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240529-AFT001</v>
      </c>
      <c r="B554" s="1" t="str">
        <f>TEXT(Coffee_sales_clean[[#This Row],[Transaction Date]],"dddd")</f>
        <v>Wednesday</v>
      </c>
      <c r="C554" s="12">
        <v>45441</v>
      </c>
      <c r="D554" s="4">
        <v>0.63250630787037032</v>
      </c>
      <c r="E5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54" t="s">
        <v>2</v>
      </c>
      <c r="G554" s="2">
        <v>27.92</v>
      </c>
    </row>
    <row r="555" spans="1:7" x14ac:dyDescent="0.25">
      <c r="A5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240529-AFT002</v>
      </c>
      <c r="B555" s="1" t="str">
        <f>TEXT(Coffee_sales_clean[[#This Row],[Transaction Date]],"dddd")</f>
        <v>Wednesday</v>
      </c>
      <c r="C555" s="12">
        <v>45441</v>
      </c>
      <c r="D555" s="4">
        <v>0.64092964120370366</v>
      </c>
      <c r="E5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55" t="s">
        <v>0</v>
      </c>
      <c r="G555" s="2">
        <v>37.72</v>
      </c>
    </row>
    <row r="556" spans="1:7" x14ac:dyDescent="0.25">
      <c r="A5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240529-AFT003</v>
      </c>
      <c r="B556" s="1" t="str">
        <f>TEXT(Coffee_sales_clean[[#This Row],[Transaction Date]],"dddd")</f>
        <v>Wednesday</v>
      </c>
      <c r="C556" s="12">
        <v>45441</v>
      </c>
      <c r="D556" s="4">
        <v>0.65639743055555555</v>
      </c>
      <c r="E5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56" t="s">
        <v>7</v>
      </c>
      <c r="G556" s="2">
        <v>37.72</v>
      </c>
    </row>
    <row r="557" spans="1:7" x14ac:dyDescent="0.25">
      <c r="A5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240529-AFT004</v>
      </c>
      <c r="B557" s="1" t="str">
        <f>TEXT(Coffee_sales_clean[[#This Row],[Transaction Date]],"dddd")</f>
        <v>Wednesday</v>
      </c>
      <c r="C557" s="12">
        <v>45441</v>
      </c>
      <c r="D557" s="4">
        <v>0.69796238425925927</v>
      </c>
      <c r="E5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57" t="s">
        <v>0</v>
      </c>
      <c r="G557" s="2">
        <v>37.72</v>
      </c>
    </row>
    <row r="558" spans="1:7" x14ac:dyDescent="0.25">
      <c r="A5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240529-EVE001</v>
      </c>
      <c r="B558" s="1" t="str">
        <f>TEXT(Coffee_sales_clean[[#This Row],[Transaction Date]],"dddd")</f>
        <v>Wednesday</v>
      </c>
      <c r="C558" s="12">
        <v>45441</v>
      </c>
      <c r="D558" s="4">
        <v>0.76670525462962968</v>
      </c>
      <c r="E5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58" t="s">
        <v>5</v>
      </c>
      <c r="G558" s="2">
        <v>27.92</v>
      </c>
    </row>
    <row r="559" spans="1:7" x14ac:dyDescent="0.25">
      <c r="A5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240529-EVE002</v>
      </c>
      <c r="B559" s="1" t="str">
        <f>TEXT(Coffee_sales_clean[[#This Row],[Transaction Date]],"dddd")</f>
        <v>Wednesday</v>
      </c>
      <c r="C559" s="12">
        <v>45441</v>
      </c>
      <c r="D559" s="4">
        <v>0.76735313657407411</v>
      </c>
      <c r="E5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59" t="s">
        <v>0</v>
      </c>
      <c r="G559" s="2">
        <v>37.72</v>
      </c>
    </row>
    <row r="560" spans="1:7" x14ac:dyDescent="0.25">
      <c r="A5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240529-LAT001</v>
      </c>
      <c r="B560" s="1" t="str">
        <f>TEXT(Coffee_sales_clean[[#This Row],[Transaction Date]],"dddd")</f>
        <v>Wednesday</v>
      </c>
      <c r="C560" s="12">
        <v>45441</v>
      </c>
      <c r="D560" s="4">
        <v>0.8546555555555555</v>
      </c>
      <c r="E5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60" t="s">
        <v>1</v>
      </c>
      <c r="G560" s="2">
        <v>37.72</v>
      </c>
    </row>
    <row r="561" spans="1:7" x14ac:dyDescent="0.25">
      <c r="A5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240529-LAT002</v>
      </c>
      <c r="B561" s="1" t="str">
        <f>TEXT(Coffee_sales_clean[[#This Row],[Transaction Date]],"dddd")</f>
        <v>Wednesday</v>
      </c>
      <c r="C561" s="12">
        <v>45441</v>
      </c>
      <c r="D561" s="4">
        <v>0.85596296296296293</v>
      </c>
      <c r="E5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61" t="s">
        <v>4</v>
      </c>
      <c r="G561" s="2">
        <v>37.72</v>
      </c>
    </row>
    <row r="562" spans="1:7" x14ac:dyDescent="0.25">
      <c r="A5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240530-MOR001</v>
      </c>
      <c r="B562" s="1" t="str">
        <f>TEXT(Coffee_sales_clean[[#This Row],[Transaction Date]],"dddd")</f>
        <v>Thursday</v>
      </c>
      <c r="C562" s="12">
        <v>45442</v>
      </c>
      <c r="D562" s="4">
        <v>0.3535448726851852</v>
      </c>
      <c r="E5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62" t="s">
        <v>7</v>
      </c>
      <c r="G562" s="2">
        <v>37.72</v>
      </c>
    </row>
    <row r="563" spans="1:7" x14ac:dyDescent="0.25">
      <c r="A5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240530-MOR002</v>
      </c>
      <c r="B563" s="1" t="str">
        <f>TEXT(Coffee_sales_clean[[#This Row],[Transaction Date]],"dddd")</f>
        <v>Thursday</v>
      </c>
      <c r="C563" s="12">
        <v>45442</v>
      </c>
      <c r="D563" s="4">
        <v>0.35441650462962965</v>
      </c>
      <c r="E5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63" t="s">
        <v>0</v>
      </c>
      <c r="G563" s="2">
        <v>37.72</v>
      </c>
    </row>
    <row r="564" spans="1:7" x14ac:dyDescent="0.25">
      <c r="A5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240530-MOR003</v>
      </c>
      <c r="B564" s="1" t="str">
        <f>TEXT(Coffee_sales_clean[[#This Row],[Transaction Date]],"dddd")</f>
        <v>Thursday</v>
      </c>
      <c r="C564" s="12">
        <v>45442</v>
      </c>
      <c r="D564" s="4">
        <v>0.35909006944444444</v>
      </c>
      <c r="E5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64" t="s">
        <v>3</v>
      </c>
      <c r="G564" s="2">
        <v>32.82</v>
      </c>
    </row>
    <row r="565" spans="1:7" x14ac:dyDescent="0.25">
      <c r="A5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240530-MOR004</v>
      </c>
      <c r="B565" s="1" t="str">
        <f>TEXT(Coffee_sales_clean[[#This Row],[Transaction Date]],"dddd")</f>
        <v>Thursday</v>
      </c>
      <c r="C565" s="12">
        <v>45442</v>
      </c>
      <c r="D565" s="4">
        <v>0.40832282407407405</v>
      </c>
      <c r="E5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65" t="s">
        <v>0</v>
      </c>
      <c r="G565" s="2">
        <v>37.72</v>
      </c>
    </row>
    <row r="566" spans="1:7" x14ac:dyDescent="0.25">
      <c r="A5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240530-AFT001</v>
      </c>
      <c r="B566" s="1" t="str">
        <f>TEXT(Coffee_sales_clean[[#This Row],[Transaction Date]],"dddd")</f>
        <v>Thursday</v>
      </c>
      <c r="C566" s="12">
        <v>45442</v>
      </c>
      <c r="D566" s="4">
        <v>0.6224013078703704</v>
      </c>
      <c r="E5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66" t="s">
        <v>3</v>
      </c>
      <c r="G566" s="2">
        <v>32.82</v>
      </c>
    </row>
    <row r="567" spans="1:7" x14ac:dyDescent="0.25">
      <c r="A5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240530-AFT002</v>
      </c>
      <c r="B567" s="1" t="str">
        <f>TEXT(Coffee_sales_clean[[#This Row],[Transaction Date]],"dddd")</f>
        <v>Thursday</v>
      </c>
      <c r="C567" s="12">
        <v>45442</v>
      </c>
      <c r="D567" s="4">
        <v>0.63629241898148148</v>
      </c>
      <c r="E5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67" t="s">
        <v>6</v>
      </c>
      <c r="G567" s="2">
        <v>23.02</v>
      </c>
    </row>
    <row r="568" spans="1:7" x14ac:dyDescent="0.25">
      <c r="A5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240530-AFT003</v>
      </c>
      <c r="B568" s="1" t="str">
        <f>TEXT(Coffee_sales_clean[[#This Row],[Transaction Date]],"dddd")</f>
        <v>Thursday</v>
      </c>
      <c r="C568" s="12">
        <v>45442</v>
      </c>
      <c r="D568" s="4">
        <v>0.63725296296296297</v>
      </c>
      <c r="E5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68" t="s">
        <v>6</v>
      </c>
      <c r="G568" s="2">
        <v>23.02</v>
      </c>
    </row>
    <row r="569" spans="1:7" x14ac:dyDescent="0.25">
      <c r="A5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240530-EVE001</v>
      </c>
      <c r="B569" s="1" t="str">
        <f>TEXT(Coffee_sales_clean[[#This Row],[Transaction Date]],"dddd")</f>
        <v>Thursday</v>
      </c>
      <c r="C569" s="12">
        <v>45442</v>
      </c>
      <c r="D569" s="4">
        <v>0.82860172453703707</v>
      </c>
      <c r="E5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69" t="s">
        <v>7</v>
      </c>
      <c r="G569" s="2">
        <v>37.72</v>
      </c>
    </row>
    <row r="570" spans="1:7" x14ac:dyDescent="0.25">
      <c r="A5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240530-LAT001</v>
      </c>
      <c r="B570" s="1" t="str">
        <f>TEXT(Coffee_sales_clean[[#This Row],[Transaction Date]],"dddd")</f>
        <v>Thursday</v>
      </c>
      <c r="C570" s="12">
        <v>45442</v>
      </c>
      <c r="D570" s="4">
        <v>0.85492395833333334</v>
      </c>
      <c r="E5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70" t="s">
        <v>0</v>
      </c>
      <c r="G570" s="2">
        <v>37.72</v>
      </c>
    </row>
    <row r="571" spans="1:7" x14ac:dyDescent="0.25">
      <c r="A5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240530-LAT002</v>
      </c>
      <c r="B571" s="1" t="str">
        <f>TEXT(Coffee_sales_clean[[#This Row],[Transaction Date]],"dddd")</f>
        <v>Thursday</v>
      </c>
      <c r="C571" s="12">
        <v>45442</v>
      </c>
      <c r="D571" s="4">
        <v>0.86543790509259255</v>
      </c>
      <c r="E5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71" t="s">
        <v>1</v>
      </c>
      <c r="G571" s="2">
        <v>37.72</v>
      </c>
    </row>
    <row r="572" spans="1:7" x14ac:dyDescent="0.25">
      <c r="A5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240530-LAT003</v>
      </c>
      <c r="B572" s="1" t="str">
        <f>TEXT(Coffee_sales_clean[[#This Row],[Transaction Date]],"dddd")</f>
        <v>Thursday</v>
      </c>
      <c r="C572" s="12">
        <v>45442</v>
      </c>
      <c r="D572" s="4">
        <v>0.86622206018518522</v>
      </c>
      <c r="E5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72" t="s">
        <v>3</v>
      </c>
      <c r="G572" s="2">
        <v>32.82</v>
      </c>
    </row>
    <row r="573" spans="1:7" x14ac:dyDescent="0.25">
      <c r="A5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240531-MOR001</v>
      </c>
      <c r="B573" s="1" t="str">
        <f>TEXT(Coffee_sales_clean[[#This Row],[Transaction Date]],"dddd")</f>
        <v>Friday</v>
      </c>
      <c r="C573" s="12">
        <v>45443</v>
      </c>
      <c r="D573" s="4">
        <v>0.32913511574074072</v>
      </c>
      <c r="E5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73" t="s">
        <v>3</v>
      </c>
      <c r="G573" s="2">
        <v>32.82</v>
      </c>
    </row>
    <row r="574" spans="1:7" x14ac:dyDescent="0.25">
      <c r="A5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240531-MOR002</v>
      </c>
      <c r="B574" s="1" t="str">
        <f>TEXT(Coffee_sales_clean[[#This Row],[Transaction Date]],"dddd")</f>
        <v>Friday</v>
      </c>
      <c r="C574" s="12">
        <v>45443</v>
      </c>
      <c r="D574" s="4">
        <v>0.38967385416666667</v>
      </c>
      <c r="E5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74" t="s">
        <v>0</v>
      </c>
      <c r="G574" s="2">
        <v>37.72</v>
      </c>
    </row>
    <row r="575" spans="1:7" x14ac:dyDescent="0.25">
      <c r="A5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240531-MOR003</v>
      </c>
      <c r="B575" s="1" t="str">
        <f>TEXT(Coffee_sales_clean[[#This Row],[Transaction Date]],"dddd")</f>
        <v>Friday</v>
      </c>
      <c r="C575" s="12">
        <v>45443</v>
      </c>
      <c r="D575" s="4">
        <v>0.44314653935185183</v>
      </c>
      <c r="E5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75" t="s">
        <v>1</v>
      </c>
      <c r="G575" s="2">
        <v>37.72</v>
      </c>
    </row>
    <row r="576" spans="1:7" x14ac:dyDescent="0.25">
      <c r="A5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240531-MOR004</v>
      </c>
      <c r="B576" s="1" t="str">
        <f>TEXT(Coffee_sales_clean[[#This Row],[Transaction Date]],"dddd")</f>
        <v>Friday</v>
      </c>
      <c r="C576" s="12">
        <v>45443</v>
      </c>
      <c r="D576" s="4">
        <v>0.44382101851851852</v>
      </c>
      <c r="E5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76" t="s">
        <v>4</v>
      </c>
      <c r="G576" s="2">
        <v>37.72</v>
      </c>
    </row>
    <row r="577" spans="1:7" x14ac:dyDescent="0.25">
      <c r="A5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240531-AFT001</v>
      </c>
      <c r="B577" s="1" t="str">
        <f>TEXT(Coffee_sales_clean[[#This Row],[Transaction Date]],"dddd")</f>
        <v>Friday</v>
      </c>
      <c r="C577" s="12">
        <v>45443</v>
      </c>
      <c r="D577" s="4">
        <v>0.61820574074074075</v>
      </c>
      <c r="E5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77" t="s">
        <v>3</v>
      </c>
      <c r="G577" s="2">
        <v>32.82</v>
      </c>
    </row>
    <row r="578" spans="1:7" x14ac:dyDescent="0.25">
      <c r="A5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240531-EVE001</v>
      </c>
      <c r="B578" s="1" t="str">
        <f>TEXT(Coffee_sales_clean[[#This Row],[Transaction Date]],"dddd")</f>
        <v>Friday</v>
      </c>
      <c r="C578" s="12">
        <v>45443</v>
      </c>
      <c r="D578" s="4">
        <v>0.76648884259259265</v>
      </c>
      <c r="E5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78" t="s">
        <v>0</v>
      </c>
      <c r="G578" s="2">
        <v>37.72</v>
      </c>
    </row>
    <row r="579" spans="1:7" x14ac:dyDescent="0.25">
      <c r="A5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240531-EVE002</v>
      </c>
      <c r="B579" s="1" t="str">
        <f>TEXT(Coffee_sales_clean[[#This Row],[Transaction Date]],"dddd")</f>
        <v>Friday</v>
      </c>
      <c r="C579" s="12">
        <v>45443</v>
      </c>
      <c r="D579" s="4">
        <v>0.76739896990740741</v>
      </c>
      <c r="E5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79" t="s">
        <v>0</v>
      </c>
      <c r="G579" s="2">
        <v>37.72</v>
      </c>
    </row>
    <row r="580" spans="1:7" x14ac:dyDescent="0.25">
      <c r="A5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240531-LAT001</v>
      </c>
      <c r="B580" s="1" t="str">
        <f>TEXT(Coffee_sales_clean[[#This Row],[Transaction Date]],"dddd")</f>
        <v>Friday</v>
      </c>
      <c r="C580" s="12">
        <v>45443</v>
      </c>
      <c r="D580" s="4">
        <v>0.83795331018518515</v>
      </c>
      <c r="E5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80" t="s">
        <v>7</v>
      </c>
      <c r="G580" s="2">
        <v>37.72</v>
      </c>
    </row>
    <row r="581" spans="1:7" x14ac:dyDescent="0.25">
      <c r="A5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240531-LAT002</v>
      </c>
      <c r="B581" s="1" t="str">
        <f>TEXT(Coffee_sales_clean[[#This Row],[Transaction Date]],"dddd")</f>
        <v>Friday</v>
      </c>
      <c r="C581" s="12">
        <v>45443</v>
      </c>
      <c r="D581" s="4">
        <v>0.85632410879629628</v>
      </c>
      <c r="E5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81" t="s">
        <v>3</v>
      </c>
      <c r="G581" s="2">
        <v>32.82</v>
      </c>
    </row>
    <row r="582" spans="1:7" x14ac:dyDescent="0.25">
      <c r="A5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240531-LAT003</v>
      </c>
      <c r="B582" s="1" t="str">
        <f>TEXT(Coffee_sales_clean[[#This Row],[Transaction Date]],"dddd")</f>
        <v>Friday</v>
      </c>
      <c r="C582" s="12">
        <v>45443</v>
      </c>
      <c r="D582" s="4">
        <v>0.85732526620370375</v>
      </c>
      <c r="E5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82" t="s">
        <v>0</v>
      </c>
      <c r="G582" s="2">
        <v>37.72</v>
      </c>
    </row>
    <row r="583" spans="1:7" x14ac:dyDescent="0.25">
      <c r="A5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240531-LAT004</v>
      </c>
      <c r="B583" s="1" t="str">
        <f>TEXT(Coffee_sales_clean[[#This Row],[Transaction Date]],"dddd")</f>
        <v>Friday</v>
      </c>
      <c r="C583" s="12">
        <v>45443</v>
      </c>
      <c r="D583" s="4">
        <v>0.92068368055555561</v>
      </c>
      <c r="E5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83" t="s">
        <v>7</v>
      </c>
      <c r="G583" s="2">
        <v>37.72</v>
      </c>
    </row>
    <row r="584" spans="1:7" x14ac:dyDescent="0.25">
      <c r="A5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240531-LAT005</v>
      </c>
      <c r="B584" s="1" t="str">
        <f>TEXT(Coffee_sales_clean[[#This Row],[Transaction Date]],"dddd")</f>
        <v>Friday</v>
      </c>
      <c r="C584" s="12">
        <v>45443</v>
      </c>
      <c r="D584" s="4">
        <v>0.92144085648148144</v>
      </c>
      <c r="E5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84" t="s">
        <v>3</v>
      </c>
      <c r="G584" s="2">
        <v>32.82</v>
      </c>
    </row>
    <row r="585" spans="1:7" x14ac:dyDescent="0.25">
      <c r="A5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240531-LAT006</v>
      </c>
      <c r="B585" s="1" t="str">
        <f>TEXT(Coffee_sales_clean[[#This Row],[Transaction Date]],"dddd")</f>
        <v>Friday</v>
      </c>
      <c r="C585" s="12">
        <v>45443</v>
      </c>
      <c r="D585" s="4">
        <v>0.92216861111111115</v>
      </c>
      <c r="E5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85" t="s">
        <v>5</v>
      </c>
      <c r="G585" s="2">
        <v>27.92</v>
      </c>
    </row>
    <row r="586" spans="1:7" x14ac:dyDescent="0.25">
      <c r="A5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240601-MOR001</v>
      </c>
      <c r="B586" s="1" t="str">
        <f>TEXT(Coffee_sales_clean[[#This Row],[Transaction Date]],"dddd")</f>
        <v>Saturday</v>
      </c>
      <c r="C586" s="12">
        <v>45444</v>
      </c>
      <c r="D586" s="4">
        <v>0.3521035300925926</v>
      </c>
      <c r="E5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86" t="s">
        <v>5</v>
      </c>
      <c r="G586" s="2">
        <v>27.92</v>
      </c>
    </row>
    <row r="587" spans="1:7" x14ac:dyDescent="0.25">
      <c r="A5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240601-MOR002</v>
      </c>
      <c r="B587" s="1" t="str">
        <f>TEXT(Coffee_sales_clean[[#This Row],[Transaction Date]],"dddd")</f>
        <v>Saturday</v>
      </c>
      <c r="C587" s="12">
        <v>45444</v>
      </c>
      <c r="D587" s="4">
        <v>0.40861979166666668</v>
      </c>
      <c r="E5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587" t="s">
        <v>0</v>
      </c>
      <c r="G587" s="2">
        <v>37.72</v>
      </c>
    </row>
    <row r="588" spans="1:7" x14ac:dyDescent="0.25">
      <c r="A5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240601-LUN001</v>
      </c>
      <c r="B588" s="1" t="str">
        <f>TEXT(Coffee_sales_clean[[#This Row],[Transaction Date]],"dddd")</f>
        <v>Saturday</v>
      </c>
      <c r="C588" s="12">
        <v>45444</v>
      </c>
      <c r="D588" s="4">
        <v>0.48483068287037034</v>
      </c>
      <c r="E5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588" t="s">
        <v>0</v>
      </c>
      <c r="G588" s="2">
        <v>37.72</v>
      </c>
    </row>
    <row r="589" spans="1:7" x14ac:dyDescent="0.25">
      <c r="A5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240601-AFT001</v>
      </c>
      <c r="B589" s="1" t="str">
        <f>TEXT(Coffee_sales_clean[[#This Row],[Transaction Date]],"dddd")</f>
        <v>Saturday</v>
      </c>
      <c r="C589" s="12">
        <v>45444</v>
      </c>
      <c r="D589" s="4">
        <v>0.60339975694444448</v>
      </c>
      <c r="E5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589" t="s">
        <v>3</v>
      </c>
      <c r="G589" s="2">
        <v>32.82</v>
      </c>
    </row>
    <row r="590" spans="1:7" x14ac:dyDescent="0.25">
      <c r="A5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240601-EVE001</v>
      </c>
      <c r="B590" s="1" t="str">
        <f>TEXT(Coffee_sales_clean[[#This Row],[Transaction Date]],"dddd")</f>
        <v>Saturday</v>
      </c>
      <c r="C590" s="12">
        <v>45444</v>
      </c>
      <c r="D590" s="4">
        <v>0.76403680555555553</v>
      </c>
      <c r="E5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90" t="s">
        <v>3</v>
      </c>
      <c r="G590" s="2">
        <v>32.82</v>
      </c>
    </row>
    <row r="591" spans="1:7" x14ac:dyDescent="0.25">
      <c r="A5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240601-EVE002</v>
      </c>
      <c r="B591" s="1" t="str">
        <f>TEXT(Coffee_sales_clean[[#This Row],[Transaction Date]],"dddd")</f>
        <v>Saturday</v>
      </c>
      <c r="C591" s="12">
        <v>45444</v>
      </c>
      <c r="D591" s="4">
        <v>0.76476114583333332</v>
      </c>
      <c r="E5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591" t="s">
        <v>3</v>
      </c>
      <c r="G591" s="2">
        <v>32.82</v>
      </c>
    </row>
    <row r="592" spans="1:7" x14ac:dyDescent="0.25">
      <c r="A5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240601-LAT001</v>
      </c>
      <c r="B592" s="1" t="str">
        <f>TEXT(Coffee_sales_clean[[#This Row],[Transaction Date]],"dddd")</f>
        <v>Saturday</v>
      </c>
      <c r="C592" s="12">
        <v>45444</v>
      </c>
      <c r="D592" s="4">
        <v>0.86817694444444449</v>
      </c>
      <c r="E5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92" t="s">
        <v>7</v>
      </c>
      <c r="G592" s="2">
        <v>37.72</v>
      </c>
    </row>
    <row r="593" spans="1:7" x14ac:dyDescent="0.25">
      <c r="A5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240601-LAT002</v>
      </c>
      <c r="B593" s="1" t="str">
        <f>TEXT(Coffee_sales_clean[[#This Row],[Transaction Date]],"dddd")</f>
        <v>Saturday</v>
      </c>
      <c r="C593" s="12">
        <v>45444</v>
      </c>
      <c r="D593" s="4">
        <v>0.86890700231481477</v>
      </c>
      <c r="E5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93" t="s">
        <v>7</v>
      </c>
      <c r="G593" s="2">
        <v>37.72</v>
      </c>
    </row>
    <row r="594" spans="1:7" x14ac:dyDescent="0.25">
      <c r="A5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240601-LAT003</v>
      </c>
      <c r="B594" s="1" t="str">
        <f>TEXT(Coffee_sales_clean[[#This Row],[Transaction Date]],"dddd")</f>
        <v>Saturday</v>
      </c>
      <c r="C594" s="12">
        <v>45444</v>
      </c>
      <c r="D594" s="4">
        <v>0.87441769675925929</v>
      </c>
      <c r="E5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94" t="s">
        <v>4</v>
      </c>
      <c r="G594" s="2">
        <v>37.72</v>
      </c>
    </row>
    <row r="595" spans="1:7" x14ac:dyDescent="0.25">
      <c r="A5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240601-LAT004</v>
      </c>
      <c r="B595" s="1" t="str">
        <f>TEXT(Coffee_sales_clean[[#This Row],[Transaction Date]],"dddd")</f>
        <v>Saturday</v>
      </c>
      <c r="C595" s="12">
        <v>45444</v>
      </c>
      <c r="D595" s="4">
        <v>0.9104742013888889</v>
      </c>
      <c r="E5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95" t="s">
        <v>3</v>
      </c>
      <c r="G595" s="2">
        <v>32.82</v>
      </c>
    </row>
    <row r="596" spans="1:7" x14ac:dyDescent="0.25">
      <c r="A5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240602-LAT001</v>
      </c>
      <c r="B596" s="1" t="str">
        <f>TEXT(Coffee_sales_clean[[#This Row],[Transaction Date]],"dddd")</f>
        <v>Sunday</v>
      </c>
      <c r="C596" s="12">
        <v>45445</v>
      </c>
      <c r="D596" s="4">
        <v>0.83571526620370373</v>
      </c>
      <c r="E5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96" t="s">
        <v>0</v>
      </c>
      <c r="G596" s="2">
        <v>37.72</v>
      </c>
    </row>
    <row r="597" spans="1:7" x14ac:dyDescent="0.25">
      <c r="A5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240602-LAT002</v>
      </c>
      <c r="B597" s="1" t="str">
        <f>TEXT(Coffee_sales_clean[[#This Row],[Transaction Date]],"dddd")</f>
        <v>Sunday</v>
      </c>
      <c r="C597" s="12">
        <v>45445</v>
      </c>
      <c r="D597" s="4">
        <v>0.85002834490740742</v>
      </c>
      <c r="E5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97" t="s">
        <v>3</v>
      </c>
      <c r="G597" s="2">
        <v>32.82</v>
      </c>
    </row>
    <row r="598" spans="1:7" x14ac:dyDescent="0.25">
      <c r="A5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240602-LAT003</v>
      </c>
      <c r="B598" s="1" t="str">
        <f>TEXT(Coffee_sales_clean[[#This Row],[Transaction Date]],"dddd")</f>
        <v>Sunday</v>
      </c>
      <c r="C598" s="12">
        <v>45445</v>
      </c>
      <c r="D598" s="4">
        <v>0.85077821759259264</v>
      </c>
      <c r="E5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98" t="s">
        <v>7</v>
      </c>
      <c r="G598" s="2">
        <v>37.72</v>
      </c>
    </row>
    <row r="599" spans="1:7" x14ac:dyDescent="0.25">
      <c r="A5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240602-LAT004</v>
      </c>
      <c r="B599" s="1" t="str">
        <f>TEXT(Coffee_sales_clean[[#This Row],[Transaction Date]],"dddd")</f>
        <v>Sunday</v>
      </c>
      <c r="C599" s="12">
        <v>45445</v>
      </c>
      <c r="D599" s="4">
        <v>0.8800987384259259</v>
      </c>
      <c r="E5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599" t="s">
        <v>3</v>
      </c>
      <c r="G599" s="2">
        <v>32.82</v>
      </c>
    </row>
    <row r="600" spans="1:7" x14ac:dyDescent="0.25">
      <c r="A6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240602-LAT005</v>
      </c>
      <c r="B600" s="1" t="str">
        <f>TEXT(Coffee_sales_clean[[#This Row],[Transaction Date]],"dddd")</f>
        <v>Sunday</v>
      </c>
      <c r="C600" s="12">
        <v>45445</v>
      </c>
      <c r="D600" s="4">
        <v>0.89597719907407403</v>
      </c>
      <c r="E6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00" t="s">
        <v>0</v>
      </c>
      <c r="G600" s="2">
        <v>37.72</v>
      </c>
    </row>
    <row r="601" spans="1:7" x14ac:dyDescent="0.25">
      <c r="A6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240603-MOR001</v>
      </c>
      <c r="B601" s="1" t="str">
        <f>TEXT(Coffee_sales_clean[[#This Row],[Transaction Date]],"dddd")</f>
        <v>Monday</v>
      </c>
      <c r="C601" s="12">
        <v>45446</v>
      </c>
      <c r="D601" s="4">
        <v>0.42504792824074072</v>
      </c>
      <c r="E6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01" t="s">
        <v>0</v>
      </c>
      <c r="G601" s="2">
        <v>37.72</v>
      </c>
    </row>
    <row r="602" spans="1:7" x14ac:dyDescent="0.25">
      <c r="A6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240603-MOR002</v>
      </c>
      <c r="B602" s="1" t="str">
        <f>TEXT(Coffee_sales_clean[[#This Row],[Transaction Date]],"dddd")</f>
        <v>Monday</v>
      </c>
      <c r="C602" s="12">
        <v>45446</v>
      </c>
      <c r="D602" s="4">
        <v>0.43599302083333336</v>
      </c>
      <c r="E6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02" t="s">
        <v>0</v>
      </c>
      <c r="G602" s="2">
        <v>37.72</v>
      </c>
    </row>
    <row r="603" spans="1:7" x14ac:dyDescent="0.25">
      <c r="A6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240603-AFT001</v>
      </c>
      <c r="B603" s="1" t="str">
        <f>TEXT(Coffee_sales_clean[[#This Row],[Transaction Date]],"dddd")</f>
        <v>Monday</v>
      </c>
      <c r="C603" s="12">
        <v>45446</v>
      </c>
      <c r="D603" s="4">
        <v>0.60535113425925924</v>
      </c>
      <c r="E6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03" t="s">
        <v>7</v>
      </c>
      <c r="G603" s="2">
        <v>37.72</v>
      </c>
    </row>
    <row r="604" spans="1:7" x14ac:dyDescent="0.25">
      <c r="A6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240603-AFT002</v>
      </c>
      <c r="B604" s="1" t="str">
        <f>TEXT(Coffee_sales_clean[[#This Row],[Transaction Date]],"dddd")</f>
        <v>Monday</v>
      </c>
      <c r="C604" s="12">
        <v>45446</v>
      </c>
      <c r="D604" s="4">
        <v>0.60626101851851855</v>
      </c>
      <c r="E6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04" t="s">
        <v>3</v>
      </c>
      <c r="G604" s="2">
        <v>32.82</v>
      </c>
    </row>
    <row r="605" spans="1:7" x14ac:dyDescent="0.25">
      <c r="A6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240603-AFT003</v>
      </c>
      <c r="B605" s="1" t="str">
        <f>TEXT(Coffee_sales_clean[[#This Row],[Transaction Date]],"dddd")</f>
        <v>Monday</v>
      </c>
      <c r="C605" s="12">
        <v>45446</v>
      </c>
      <c r="D605" s="4">
        <v>0.60702456018518514</v>
      </c>
      <c r="E6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05" t="s">
        <v>0</v>
      </c>
      <c r="G605" s="2">
        <v>37.72</v>
      </c>
    </row>
    <row r="606" spans="1:7" x14ac:dyDescent="0.25">
      <c r="A6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240604-MOR001</v>
      </c>
      <c r="B606" s="1" t="str">
        <f>TEXT(Coffee_sales_clean[[#This Row],[Transaction Date]],"dddd")</f>
        <v>Tuesday</v>
      </c>
      <c r="C606" s="12">
        <v>45447</v>
      </c>
      <c r="D606" s="4">
        <v>0.39146872685185186</v>
      </c>
      <c r="E6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06" t="s">
        <v>5</v>
      </c>
      <c r="G606" s="2">
        <v>27.92</v>
      </c>
    </row>
    <row r="607" spans="1:7" x14ac:dyDescent="0.25">
      <c r="A6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240604-MOR002</v>
      </c>
      <c r="B607" s="1" t="str">
        <f>TEXT(Coffee_sales_clean[[#This Row],[Transaction Date]],"dddd")</f>
        <v>Tuesday</v>
      </c>
      <c r="C607" s="12">
        <v>45447</v>
      </c>
      <c r="D607" s="4">
        <v>0.43557841435185185</v>
      </c>
      <c r="E6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07" t="s">
        <v>3</v>
      </c>
      <c r="G607" s="2">
        <v>32.82</v>
      </c>
    </row>
    <row r="608" spans="1:7" x14ac:dyDescent="0.25">
      <c r="A6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240604-LUN001</v>
      </c>
      <c r="B608" s="1" t="str">
        <f>TEXT(Coffee_sales_clean[[#This Row],[Transaction Date]],"dddd")</f>
        <v>Tuesday</v>
      </c>
      <c r="C608" s="12">
        <v>45447</v>
      </c>
      <c r="D608" s="4">
        <v>0.50150709490740741</v>
      </c>
      <c r="E6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08" t="s">
        <v>0</v>
      </c>
      <c r="G608" s="2">
        <v>37.72</v>
      </c>
    </row>
    <row r="609" spans="1:7" x14ac:dyDescent="0.25">
      <c r="A6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240604-LUN002</v>
      </c>
      <c r="B609" s="1" t="str">
        <f>TEXT(Coffee_sales_clean[[#This Row],[Transaction Date]],"dddd")</f>
        <v>Tuesday</v>
      </c>
      <c r="C609" s="12">
        <v>45447</v>
      </c>
      <c r="D609" s="4">
        <v>0.50381002314814816</v>
      </c>
      <c r="E6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09" t="s">
        <v>1</v>
      </c>
      <c r="G609" s="2">
        <v>37.72</v>
      </c>
    </row>
    <row r="610" spans="1:7" x14ac:dyDescent="0.25">
      <c r="A6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240604-AFT001</v>
      </c>
      <c r="B610" s="1" t="str">
        <f>TEXT(Coffee_sales_clean[[#This Row],[Transaction Date]],"dddd")</f>
        <v>Tuesday</v>
      </c>
      <c r="C610" s="12">
        <v>45447</v>
      </c>
      <c r="D610" s="4">
        <v>0.64620896990740739</v>
      </c>
      <c r="E6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10" t="s">
        <v>0</v>
      </c>
      <c r="G610" s="2">
        <v>37.72</v>
      </c>
    </row>
    <row r="611" spans="1:7" x14ac:dyDescent="0.25">
      <c r="A6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240604-EVE001</v>
      </c>
      <c r="B611" s="1" t="str">
        <f>TEXT(Coffee_sales_clean[[#This Row],[Transaction Date]],"dddd")</f>
        <v>Tuesday</v>
      </c>
      <c r="C611" s="12">
        <v>45447</v>
      </c>
      <c r="D611" s="4">
        <v>0.74070209490740746</v>
      </c>
      <c r="E6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11" t="s">
        <v>5</v>
      </c>
      <c r="G611" s="2">
        <v>27.92</v>
      </c>
    </row>
    <row r="612" spans="1:7" x14ac:dyDescent="0.25">
      <c r="A6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240604-EVE002</v>
      </c>
      <c r="B612" s="1" t="str">
        <f>TEXT(Coffee_sales_clean[[#This Row],[Transaction Date]],"dddd")</f>
        <v>Tuesday</v>
      </c>
      <c r="C612" s="12">
        <v>45447</v>
      </c>
      <c r="D612" s="4">
        <v>0.74130609953703708</v>
      </c>
      <c r="E6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12" t="s">
        <v>7</v>
      </c>
      <c r="G612" s="2">
        <v>37.72</v>
      </c>
    </row>
    <row r="613" spans="1:7" x14ac:dyDescent="0.25">
      <c r="A6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240604-LAT001</v>
      </c>
      <c r="B613" s="1" t="str">
        <f>TEXT(Coffee_sales_clean[[#This Row],[Transaction Date]],"dddd")</f>
        <v>Tuesday</v>
      </c>
      <c r="C613" s="12">
        <v>45447</v>
      </c>
      <c r="D613" s="4">
        <v>0.84237504629629634</v>
      </c>
      <c r="E6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13" t="s">
        <v>1</v>
      </c>
      <c r="G613" s="2">
        <v>37.72</v>
      </c>
    </row>
    <row r="614" spans="1:7" x14ac:dyDescent="0.25">
      <c r="A6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240604-LAT002</v>
      </c>
      <c r="B614" s="1" t="str">
        <f>TEXT(Coffee_sales_clean[[#This Row],[Transaction Date]],"dddd")</f>
        <v>Tuesday</v>
      </c>
      <c r="C614" s="12">
        <v>45447</v>
      </c>
      <c r="D614" s="4">
        <v>0.86844787037037041</v>
      </c>
      <c r="E6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14" t="s">
        <v>7</v>
      </c>
      <c r="G614" s="2">
        <v>37.72</v>
      </c>
    </row>
    <row r="615" spans="1:7" x14ac:dyDescent="0.25">
      <c r="A6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240604-LAT003</v>
      </c>
      <c r="B615" s="1" t="str">
        <f>TEXT(Coffee_sales_clean[[#This Row],[Transaction Date]],"dddd")</f>
        <v>Tuesday</v>
      </c>
      <c r="C615" s="12">
        <v>45447</v>
      </c>
      <c r="D615" s="4">
        <v>0.89720958333333334</v>
      </c>
      <c r="E6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15" t="s">
        <v>5</v>
      </c>
      <c r="G615" s="2">
        <v>27.92</v>
      </c>
    </row>
    <row r="616" spans="1:7" x14ac:dyDescent="0.25">
      <c r="A6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240604-LAT004</v>
      </c>
      <c r="B616" s="1" t="str">
        <f>TEXT(Coffee_sales_clean[[#This Row],[Transaction Date]],"dddd")</f>
        <v>Tuesday</v>
      </c>
      <c r="C616" s="12">
        <v>45447</v>
      </c>
      <c r="D616" s="4">
        <v>0.89794700231481483</v>
      </c>
      <c r="E6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16" t="s">
        <v>3</v>
      </c>
      <c r="G616" s="2">
        <v>32.82</v>
      </c>
    </row>
    <row r="617" spans="1:7" x14ac:dyDescent="0.25">
      <c r="A6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240604-LAT005</v>
      </c>
      <c r="B617" s="1" t="str">
        <f>TEXT(Coffee_sales_clean[[#This Row],[Transaction Date]],"dddd")</f>
        <v>Tuesday</v>
      </c>
      <c r="C617" s="12">
        <v>45447</v>
      </c>
      <c r="D617" s="4">
        <v>0.89925540509259261</v>
      </c>
      <c r="E6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17" t="s">
        <v>3</v>
      </c>
      <c r="G617" s="2">
        <v>32.82</v>
      </c>
    </row>
    <row r="618" spans="1:7" x14ac:dyDescent="0.25">
      <c r="A6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240604-LAT006</v>
      </c>
      <c r="B618" s="1" t="str">
        <f>TEXT(Coffee_sales_clean[[#This Row],[Transaction Date]],"dddd")</f>
        <v>Tuesday</v>
      </c>
      <c r="C618" s="12">
        <v>45447</v>
      </c>
      <c r="D618" s="4">
        <v>0.90008013888888894</v>
      </c>
      <c r="E6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18" t="s">
        <v>3</v>
      </c>
      <c r="G618" s="2">
        <v>32.82</v>
      </c>
    </row>
    <row r="619" spans="1:7" x14ac:dyDescent="0.25">
      <c r="A6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240604-LAT007</v>
      </c>
      <c r="B619" s="1" t="str">
        <f>TEXT(Coffee_sales_clean[[#This Row],[Transaction Date]],"dddd")</f>
        <v>Tuesday</v>
      </c>
      <c r="C619" s="12">
        <v>45447</v>
      </c>
      <c r="D619" s="4">
        <v>0.90086995370370371</v>
      </c>
      <c r="E6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19" t="s">
        <v>3</v>
      </c>
      <c r="G619" s="2">
        <v>32.82</v>
      </c>
    </row>
    <row r="620" spans="1:7" x14ac:dyDescent="0.25">
      <c r="A6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240605-MOR001</v>
      </c>
      <c r="B620" s="1" t="str">
        <f>TEXT(Coffee_sales_clean[[#This Row],[Transaction Date]],"dddd")</f>
        <v>Wednesday</v>
      </c>
      <c r="C620" s="12">
        <v>45448</v>
      </c>
      <c r="D620" s="4">
        <v>0.34848337962962961</v>
      </c>
      <c r="E6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20" t="s">
        <v>7</v>
      </c>
      <c r="G620" s="2">
        <v>37.72</v>
      </c>
    </row>
    <row r="621" spans="1:7" x14ac:dyDescent="0.25">
      <c r="A6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240605-MOR002</v>
      </c>
      <c r="B621" s="1" t="str">
        <f>TEXT(Coffee_sales_clean[[#This Row],[Transaction Date]],"dddd")</f>
        <v>Wednesday</v>
      </c>
      <c r="C621" s="12">
        <v>45448</v>
      </c>
      <c r="D621" s="4">
        <v>0.34938336805555553</v>
      </c>
      <c r="E6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21" t="s">
        <v>7</v>
      </c>
      <c r="G621" s="2">
        <v>37.72</v>
      </c>
    </row>
    <row r="622" spans="1:7" x14ac:dyDescent="0.25">
      <c r="A6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240605-MOR003</v>
      </c>
      <c r="B622" s="1" t="str">
        <f>TEXT(Coffee_sales_clean[[#This Row],[Transaction Date]],"dddd")</f>
        <v>Wednesday</v>
      </c>
      <c r="C622" s="12">
        <v>45448</v>
      </c>
      <c r="D622" s="4">
        <v>0.39077671296296296</v>
      </c>
      <c r="E6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22" t="s">
        <v>2</v>
      </c>
      <c r="G622" s="2">
        <v>27.92</v>
      </c>
    </row>
    <row r="623" spans="1:7" x14ac:dyDescent="0.25">
      <c r="A6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240605-MOR004</v>
      </c>
      <c r="B623" s="1" t="str">
        <f>TEXT(Coffee_sales_clean[[#This Row],[Transaction Date]],"dddd")</f>
        <v>Wednesday</v>
      </c>
      <c r="C623" s="12">
        <v>45448</v>
      </c>
      <c r="D623" s="4">
        <v>0.43669699074074075</v>
      </c>
      <c r="E6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23" t="s">
        <v>0</v>
      </c>
      <c r="G623" s="2">
        <v>37.72</v>
      </c>
    </row>
    <row r="624" spans="1:7" x14ac:dyDescent="0.25">
      <c r="A6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240605-MOR005</v>
      </c>
      <c r="B624" s="1" t="str">
        <f>TEXT(Coffee_sales_clean[[#This Row],[Transaction Date]],"dddd")</f>
        <v>Wednesday</v>
      </c>
      <c r="C624" s="12">
        <v>45448</v>
      </c>
      <c r="D624" s="4">
        <v>0.44506004629629631</v>
      </c>
      <c r="E6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24" t="s">
        <v>3</v>
      </c>
      <c r="G624" s="2">
        <v>32.82</v>
      </c>
    </row>
    <row r="625" spans="1:7" x14ac:dyDescent="0.25">
      <c r="A6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240605-EVE001</v>
      </c>
      <c r="B625" s="1" t="str">
        <f>TEXT(Coffee_sales_clean[[#This Row],[Transaction Date]],"dddd")</f>
        <v>Wednesday</v>
      </c>
      <c r="C625" s="12">
        <v>45448</v>
      </c>
      <c r="D625" s="4">
        <v>0.8221953125</v>
      </c>
      <c r="E6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25" t="s">
        <v>3</v>
      </c>
      <c r="G625" s="2">
        <v>32.82</v>
      </c>
    </row>
    <row r="626" spans="1:7" x14ac:dyDescent="0.25">
      <c r="A6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240605-EVE002</v>
      </c>
      <c r="B626" s="1" t="str">
        <f>TEXT(Coffee_sales_clean[[#This Row],[Transaction Date]],"dddd")</f>
        <v>Wednesday</v>
      </c>
      <c r="C626" s="12">
        <v>45448</v>
      </c>
      <c r="D626" s="4">
        <v>0.83325841435185188</v>
      </c>
      <c r="E6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26" t="s">
        <v>0</v>
      </c>
      <c r="G626" s="2">
        <v>37.72</v>
      </c>
    </row>
    <row r="627" spans="1:7" x14ac:dyDescent="0.25">
      <c r="A6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240605-LAT001</v>
      </c>
      <c r="B627" s="1" t="str">
        <f>TEXT(Coffee_sales_clean[[#This Row],[Transaction Date]],"dddd")</f>
        <v>Wednesday</v>
      </c>
      <c r="C627" s="12">
        <v>45448</v>
      </c>
      <c r="D627" s="4">
        <v>0.84082896990740741</v>
      </c>
      <c r="E6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27" t="s">
        <v>4</v>
      </c>
      <c r="G627" s="2">
        <v>37.72</v>
      </c>
    </row>
    <row r="628" spans="1:7" x14ac:dyDescent="0.25">
      <c r="A6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240605-LAT002</v>
      </c>
      <c r="B628" s="1" t="str">
        <f>TEXT(Coffee_sales_clean[[#This Row],[Transaction Date]],"dddd")</f>
        <v>Wednesday</v>
      </c>
      <c r="C628" s="12">
        <v>45448</v>
      </c>
      <c r="D628" s="4">
        <v>0.84168585648148153</v>
      </c>
      <c r="E6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28" t="s">
        <v>5</v>
      </c>
      <c r="G628" s="2">
        <v>27.92</v>
      </c>
    </row>
    <row r="629" spans="1:7" x14ac:dyDescent="0.25">
      <c r="A6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240606-MOR001</v>
      </c>
      <c r="B629" s="1" t="str">
        <f>TEXT(Coffee_sales_clean[[#This Row],[Transaction Date]],"dddd")</f>
        <v>Thursday</v>
      </c>
      <c r="C629" s="12">
        <v>45449</v>
      </c>
      <c r="D629" s="4">
        <v>0.3700966550925926</v>
      </c>
      <c r="E6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29" t="s">
        <v>3</v>
      </c>
      <c r="G629" s="2">
        <v>32.82</v>
      </c>
    </row>
    <row r="630" spans="1:7" x14ac:dyDescent="0.25">
      <c r="A6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240606-MOR002</v>
      </c>
      <c r="B630" s="1" t="str">
        <f>TEXT(Coffee_sales_clean[[#This Row],[Transaction Date]],"dddd")</f>
        <v>Thursday</v>
      </c>
      <c r="C630" s="12">
        <v>45449</v>
      </c>
      <c r="D630" s="4">
        <v>0.37093119212962961</v>
      </c>
      <c r="E6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30" t="s">
        <v>3</v>
      </c>
      <c r="G630" s="2">
        <v>32.82</v>
      </c>
    </row>
    <row r="631" spans="1:7" x14ac:dyDescent="0.25">
      <c r="A6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240606-MOR003</v>
      </c>
      <c r="B631" s="1" t="str">
        <f>TEXT(Coffee_sales_clean[[#This Row],[Transaction Date]],"dddd")</f>
        <v>Thursday</v>
      </c>
      <c r="C631" s="12">
        <v>45449</v>
      </c>
      <c r="D631" s="4">
        <v>0.44177855324074072</v>
      </c>
      <c r="E6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31" t="s">
        <v>0</v>
      </c>
      <c r="G631" s="2">
        <v>37.72</v>
      </c>
    </row>
    <row r="632" spans="1:7" x14ac:dyDescent="0.25">
      <c r="A6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240606-LUN001</v>
      </c>
      <c r="B632" s="1" t="str">
        <f>TEXT(Coffee_sales_clean[[#This Row],[Transaction Date]],"dddd")</f>
        <v>Thursday</v>
      </c>
      <c r="C632" s="12">
        <v>45449</v>
      </c>
      <c r="D632" s="4">
        <v>0.51228557870370373</v>
      </c>
      <c r="E6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32" t="s">
        <v>2</v>
      </c>
      <c r="G632" s="2">
        <v>27.92</v>
      </c>
    </row>
    <row r="633" spans="1:7" x14ac:dyDescent="0.25">
      <c r="A6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240606-AFT001</v>
      </c>
      <c r="B633" s="1" t="str">
        <f>TEXT(Coffee_sales_clean[[#This Row],[Transaction Date]],"dddd")</f>
        <v>Thursday</v>
      </c>
      <c r="C633" s="12">
        <v>45449</v>
      </c>
      <c r="D633" s="4">
        <v>0.63280306712962964</v>
      </c>
      <c r="E6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33" t="s">
        <v>3</v>
      </c>
      <c r="G633" s="2">
        <v>32.82</v>
      </c>
    </row>
    <row r="634" spans="1:7" x14ac:dyDescent="0.25">
      <c r="A6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240606-AFT002</v>
      </c>
      <c r="B634" s="1" t="str">
        <f>TEXT(Coffee_sales_clean[[#This Row],[Transaction Date]],"dddd")</f>
        <v>Thursday</v>
      </c>
      <c r="C634" s="12">
        <v>45449</v>
      </c>
      <c r="D634" s="4">
        <v>0.64173866898148146</v>
      </c>
      <c r="E6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34" t="s">
        <v>7</v>
      </c>
      <c r="G634" s="2">
        <v>37.72</v>
      </c>
    </row>
    <row r="635" spans="1:7" x14ac:dyDescent="0.25">
      <c r="A6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240606-LAT001</v>
      </c>
      <c r="B635" s="1" t="str">
        <f>TEXT(Coffee_sales_clean[[#This Row],[Transaction Date]],"dddd")</f>
        <v>Thursday</v>
      </c>
      <c r="C635" s="12">
        <v>45449</v>
      </c>
      <c r="D635" s="4">
        <v>0.88478127314814814</v>
      </c>
      <c r="E6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35" t="s">
        <v>0</v>
      </c>
      <c r="G635" s="2">
        <v>37.72</v>
      </c>
    </row>
    <row r="636" spans="1:7" x14ac:dyDescent="0.25">
      <c r="A6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240606-LAT002</v>
      </c>
      <c r="B636" s="1" t="str">
        <f>TEXT(Coffee_sales_clean[[#This Row],[Transaction Date]],"dddd")</f>
        <v>Thursday</v>
      </c>
      <c r="C636" s="12">
        <v>45449</v>
      </c>
      <c r="D636" s="4">
        <v>0.88590540509259263</v>
      </c>
      <c r="E6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36" t="s">
        <v>0</v>
      </c>
      <c r="G636" s="2">
        <v>37.72</v>
      </c>
    </row>
    <row r="637" spans="1:7" x14ac:dyDescent="0.25">
      <c r="A6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240606-LAT003</v>
      </c>
      <c r="B637" s="1" t="str">
        <f>TEXT(Coffee_sales_clean[[#This Row],[Transaction Date]],"dddd")</f>
        <v>Thursday</v>
      </c>
      <c r="C637" s="12">
        <v>45449</v>
      </c>
      <c r="D637" s="4">
        <v>0.88780917824074079</v>
      </c>
      <c r="E6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37" t="s">
        <v>7</v>
      </c>
      <c r="G637" s="2">
        <v>37.72</v>
      </c>
    </row>
    <row r="638" spans="1:7" x14ac:dyDescent="0.25">
      <c r="A6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240606-LAT004</v>
      </c>
      <c r="B638" s="1" t="str">
        <f>TEXT(Coffee_sales_clean[[#This Row],[Transaction Date]],"dddd")</f>
        <v>Thursday</v>
      </c>
      <c r="C638" s="12">
        <v>45449</v>
      </c>
      <c r="D638" s="4">
        <v>0.88854671296296295</v>
      </c>
      <c r="E6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38" t="s">
        <v>3</v>
      </c>
      <c r="G638" s="2">
        <v>32.82</v>
      </c>
    </row>
    <row r="639" spans="1:7" x14ac:dyDescent="0.25">
      <c r="A6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240606-LAT005</v>
      </c>
      <c r="B639" s="1" t="str">
        <f>TEXT(Coffee_sales_clean[[#This Row],[Transaction Date]],"dddd")</f>
        <v>Thursday</v>
      </c>
      <c r="C639" s="12">
        <v>45449</v>
      </c>
      <c r="D639" s="4">
        <v>0.88963472222222217</v>
      </c>
      <c r="E6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39" t="s">
        <v>0</v>
      </c>
      <c r="G639" s="2">
        <v>37.72</v>
      </c>
    </row>
    <row r="640" spans="1:7" x14ac:dyDescent="0.25">
      <c r="A6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240607-MOR001</v>
      </c>
      <c r="B640" s="1" t="str">
        <f>TEXT(Coffee_sales_clean[[#This Row],[Transaction Date]],"dddd")</f>
        <v>Friday</v>
      </c>
      <c r="C640" s="12">
        <v>45450</v>
      </c>
      <c r="D640" s="4">
        <v>0.34588305555555554</v>
      </c>
      <c r="E6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40" t="s">
        <v>7</v>
      </c>
      <c r="G640" s="2">
        <v>37.72</v>
      </c>
    </row>
    <row r="641" spans="1:7" x14ac:dyDescent="0.25">
      <c r="A6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240607-MOR002</v>
      </c>
      <c r="B641" s="1" t="str">
        <f>TEXT(Coffee_sales_clean[[#This Row],[Transaction Date]],"dddd")</f>
        <v>Friday</v>
      </c>
      <c r="C641" s="12">
        <v>45450</v>
      </c>
      <c r="D641" s="4">
        <v>0.44129750000000001</v>
      </c>
      <c r="E6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41" t="s">
        <v>6</v>
      </c>
      <c r="G641" s="2">
        <v>23.02</v>
      </c>
    </row>
    <row r="642" spans="1:7" x14ac:dyDescent="0.25">
      <c r="A6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240607-LUN001</v>
      </c>
      <c r="B642" s="1" t="str">
        <f>TEXT(Coffee_sales_clean[[#This Row],[Transaction Date]],"dddd")</f>
        <v>Friday</v>
      </c>
      <c r="C642" s="12">
        <v>45450</v>
      </c>
      <c r="D642" s="4">
        <v>0.56548954861111111</v>
      </c>
      <c r="E6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42" t="s">
        <v>3</v>
      </c>
      <c r="G642" s="2">
        <v>32.82</v>
      </c>
    </row>
    <row r="643" spans="1:7" x14ac:dyDescent="0.25">
      <c r="A6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240607-AFT001</v>
      </c>
      <c r="B643" s="1" t="str">
        <f>TEXT(Coffee_sales_clean[[#This Row],[Transaction Date]],"dddd")</f>
        <v>Friday</v>
      </c>
      <c r="C643" s="12">
        <v>45450</v>
      </c>
      <c r="D643" s="4">
        <v>0.6984053009259259</v>
      </c>
      <c r="E6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43" t="s">
        <v>5</v>
      </c>
      <c r="G643" s="2">
        <v>27.92</v>
      </c>
    </row>
    <row r="644" spans="1:7" x14ac:dyDescent="0.25">
      <c r="A6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240607-AFT002</v>
      </c>
      <c r="B644" s="1" t="str">
        <f>TEXT(Coffee_sales_clean[[#This Row],[Transaction Date]],"dddd")</f>
        <v>Friday</v>
      </c>
      <c r="C644" s="12">
        <v>45450</v>
      </c>
      <c r="D644" s="4">
        <v>0.69948473379629628</v>
      </c>
      <c r="E6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44" t="s">
        <v>5</v>
      </c>
      <c r="G644" s="2">
        <v>27.92</v>
      </c>
    </row>
    <row r="645" spans="1:7" x14ac:dyDescent="0.25">
      <c r="A6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240608-MOR001</v>
      </c>
      <c r="B645" s="1" t="str">
        <f>TEXT(Coffee_sales_clean[[#This Row],[Transaction Date]],"dddd")</f>
        <v>Saturday</v>
      </c>
      <c r="C645" s="12">
        <v>45451</v>
      </c>
      <c r="D645" s="4">
        <v>0.37800944444444445</v>
      </c>
      <c r="E6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45" t="s">
        <v>5</v>
      </c>
      <c r="G645" s="2">
        <v>27.92</v>
      </c>
    </row>
    <row r="646" spans="1:7" x14ac:dyDescent="0.25">
      <c r="A6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240608-MOR002</v>
      </c>
      <c r="B646" s="1" t="str">
        <f>TEXT(Coffee_sales_clean[[#This Row],[Transaction Date]],"dddd")</f>
        <v>Saturday</v>
      </c>
      <c r="C646" s="12">
        <v>45451</v>
      </c>
      <c r="D646" s="4">
        <v>0.39318472222222223</v>
      </c>
      <c r="E6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46" t="s">
        <v>3</v>
      </c>
      <c r="G646" s="2">
        <v>32.82</v>
      </c>
    </row>
    <row r="647" spans="1:7" x14ac:dyDescent="0.25">
      <c r="A6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240608-LAT001</v>
      </c>
      <c r="B647" s="1" t="str">
        <f>TEXT(Coffee_sales_clean[[#This Row],[Transaction Date]],"dddd")</f>
        <v>Saturday</v>
      </c>
      <c r="C647" s="12">
        <v>45451</v>
      </c>
      <c r="D647" s="4">
        <v>0.85062870370370369</v>
      </c>
      <c r="E6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47" t="s">
        <v>7</v>
      </c>
      <c r="G647" s="2">
        <v>37.72</v>
      </c>
    </row>
    <row r="648" spans="1:7" x14ac:dyDescent="0.25">
      <c r="A6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240608-LAT002</v>
      </c>
      <c r="B648" s="1" t="str">
        <f>TEXT(Coffee_sales_clean[[#This Row],[Transaction Date]],"dddd")</f>
        <v>Saturday</v>
      </c>
      <c r="C648" s="12">
        <v>45451</v>
      </c>
      <c r="D648" s="4">
        <v>0.85134624999999997</v>
      </c>
      <c r="E6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48" t="s">
        <v>7</v>
      </c>
      <c r="G648" s="2">
        <v>37.72</v>
      </c>
    </row>
    <row r="649" spans="1:7" x14ac:dyDescent="0.25">
      <c r="A6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240609-MOR001</v>
      </c>
      <c r="B649" s="1" t="str">
        <f>TEXT(Coffee_sales_clean[[#This Row],[Transaction Date]],"dddd")</f>
        <v>Sunday</v>
      </c>
      <c r="C649" s="12">
        <v>45452</v>
      </c>
      <c r="D649" s="4">
        <v>0.34436064814814815</v>
      </c>
      <c r="E6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49" t="s">
        <v>0</v>
      </c>
      <c r="G649" s="2">
        <v>37.72</v>
      </c>
    </row>
    <row r="650" spans="1:7" x14ac:dyDescent="0.25">
      <c r="A6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240609-MOR002</v>
      </c>
      <c r="B650" s="1" t="str">
        <f>TEXT(Coffee_sales_clean[[#This Row],[Transaction Date]],"dddd")</f>
        <v>Sunday</v>
      </c>
      <c r="C650" s="12">
        <v>45452</v>
      </c>
      <c r="D650" s="4">
        <v>0.43755163194444446</v>
      </c>
      <c r="E6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50" t="s">
        <v>0</v>
      </c>
      <c r="G650" s="2">
        <v>37.72</v>
      </c>
    </row>
    <row r="651" spans="1:7" x14ac:dyDescent="0.25">
      <c r="A6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240609-MOR003</v>
      </c>
      <c r="B651" s="1" t="str">
        <f>TEXT(Coffee_sales_clean[[#This Row],[Transaction Date]],"dddd")</f>
        <v>Sunday</v>
      </c>
      <c r="C651" s="12">
        <v>45452</v>
      </c>
      <c r="D651" s="4">
        <v>0.4528448726851852</v>
      </c>
      <c r="E6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51" t="s">
        <v>7</v>
      </c>
      <c r="G651" s="2">
        <v>37.72</v>
      </c>
    </row>
    <row r="652" spans="1:7" x14ac:dyDescent="0.25">
      <c r="A6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240609-LUN001</v>
      </c>
      <c r="B652" s="1" t="str">
        <f>TEXT(Coffee_sales_clean[[#This Row],[Transaction Date]],"dddd")</f>
        <v>Sunday</v>
      </c>
      <c r="C652" s="12">
        <v>45452</v>
      </c>
      <c r="D652" s="4">
        <v>0.46158918981481484</v>
      </c>
      <c r="E6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52" t="s">
        <v>5</v>
      </c>
      <c r="G652" s="2">
        <v>27.92</v>
      </c>
    </row>
    <row r="653" spans="1:7" x14ac:dyDescent="0.25">
      <c r="A6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240609-LUN002</v>
      </c>
      <c r="B653" s="1" t="str">
        <f>TEXT(Coffee_sales_clean[[#This Row],[Transaction Date]],"dddd")</f>
        <v>Sunday</v>
      </c>
      <c r="C653" s="12">
        <v>45452</v>
      </c>
      <c r="D653" s="4">
        <v>0.46328828703703706</v>
      </c>
      <c r="E6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53" t="s">
        <v>6</v>
      </c>
      <c r="G653" s="2">
        <v>23.02</v>
      </c>
    </row>
    <row r="654" spans="1:7" x14ac:dyDescent="0.25">
      <c r="A6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240609-LUN003</v>
      </c>
      <c r="B654" s="1" t="str">
        <f>TEXT(Coffee_sales_clean[[#This Row],[Transaction Date]],"dddd")</f>
        <v>Sunday</v>
      </c>
      <c r="C654" s="12">
        <v>45452</v>
      </c>
      <c r="D654" s="4">
        <v>0.49501870370370371</v>
      </c>
      <c r="E6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54" t="s">
        <v>7</v>
      </c>
      <c r="G654" s="2">
        <v>37.72</v>
      </c>
    </row>
    <row r="655" spans="1:7" x14ac:dyDescent="0.25">
      <c r="A6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240609-LUN004</v>
      </c>
      <c r="B655" s="1" t="str">
        <f>TEXT(Coffee_sales_clean[[#This Row],[Transaction Date]],"dddd")</f>
        <v>Sunday</v>
      </c>
      <c r="C655" s="12">
        <v>45452</v>
      </c>
      <c r="D655" s="4">
        <v>0.50791249999999999</v>
      </c>
      <c r="E6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55" t="s">
        <v>3</v>
      </c>
      <c r="G655" s="2">
        <v>32.82</v>
      </c>
    </row>
    <row r="656" spans="1:7" x14ac:dyDescent="0.25">
      <c r="A6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240609-LUN005</v>
      </c>
      <c r="B656" s="1" t="str">
        <f>TEXT(Coffee_sales_clean[[#This Row],[Transaction Date]],"dddd")</f>
        <v>Sunday</v>
      </c>
      <c r="C656" s="12">
        <v>45452</v>
      </c>
      <c r="D656" s="4">
        <v>0.50912114583333334</v>
      </c>
      <c r="E6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56" t="s">
        <v>0</v>
      </c>
      <c r="G656" s="2">
        <v>37.72</v>
      </c>
    </row>
    <row r="657" spans="1:7" x14ac:dyDescent="0.25">
      <c r="A6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240609-LUN006</v>
      </c>
      <c r="B657" s="1" t="str">
        <f>TEXT(Coffee_sales_clean[[#This Row],[Transaction Date]],"dddd")</f>
        <v>Sunday</v>
      </c>
      <c r="C657" s="12">
        <v>45452</v>
      </c>
      <c r="D657" s="4">
        <v>0.50984702546296301</v>
      </c>
      <c r="E6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57" t="s">
        <v>0</v>
      </c>
      <c r="G657" s="2">
        <v>37.72</v>
      </c>
    </row>
    <row r="658" spans="1:7" x14ac:dyDescent="0.25">
      <c r="A6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240609-AFT001</v>
      </c>
      <c r="B658" s="1" t="str">
        <f>TEXT(Coffee_sales_clean[[#This Row],[Transaction Date]],"dddd")</f>
        <v>Sunday</v>
      </c>
      <c r="C658" s="12">
        <v>45452</v>
      </c>
      <c r="D658" s="4">
        <v>0.63229967592592595</v>
      </c>
      <c r="E6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58" t="s">
        <v>5</v>
      </c>
      <c r="G658" s="2">
        <v>27.92</v>
      </c>
    </row>
    <row r="659" spans="1:7" x14ac:dyDescent="0.25">
      <c r="A6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240609-AFT002</v>
      </c>
      <c r="B659" s="1" t="str">
        <f>TEXT(Coffee_sales_clean[[#This Row],[Transaction Date]],"dddd")</f>
        <v>Sunday</v>
      </c>
      <c r="C659" s="12">
        <v>45452</v>
      </c>
      <c r="D659" s="4">
        <v>0.67879848379629626</v>
      </c>
      <c r="E6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659" t="s">
        <v>7</v>
      </c>
      <c r="G659" s="2">
        <v>37.72</v>
      </c>
    </row>
    <row r="660" spans="1:7" x14ac:dyDescent="0.25">
      <c r="A6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240609-EVE001</v>
      </c>
      <c r="B660" s="1" t="str">
        <f>TEXT(Coffee_sales_clean[[#This Row],[Transaction Date]],"dddd")</f>
        <v>Sunday</v>
      </c>
      <c r="C660" s="12">
        <v>45452</v>
      </c>
      <c r="D660" s="4">
        <v>0.80647311342592598</v>
      </c>
      <c r="E6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60" t="s">
        <v>3</v>
      </c>
      <c r="G660" s="2">
        <v>32.82</v>
      </c>
    </row>
    <row r="661" spans="1:7" x14ac:dyDescent="0.25">
      <c r="A6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240609-LAT001</v>
      </c>
      <c r="B661" s="1" t="str">
        <f>TEXT(Coffee_sales_clean[[#This Row],[Transaction Date]],"dddd")</f>
        <v>Sunday</v>
      </c>
      <c r="C661" s="12">
        <v>45452</v>
      </c>
      <c r="D661" s="4">
        <v>0.87857458333333338</v>
      </c>
      <c r="E6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61" t="s">
        <v>2</v>
      </c>
      <c r="G661" s="2">
        <v>27.92</v>
      </c>
    </row>
    <row r="662" spans="1:7" x14ac:dyDescent="0.25">
      <c r="A6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240610-LUN001</v>
      </c>
      <c r="B662" s="1" t="str">
        <f>TEXT(Coffee_sales_clean[[#This Row],[Transaction Date]],"dddd")</f>
        <v>Monday</v>
      </c>
      <c r="C662" s="12">
        <v>45453</v>
      </c>
      <c r="D662" s="4">
        <v>0.53321598379629631</v>
      </c>
      <c r="E6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62" t="s">
        <v>7</v>
      </c>
      <c r="G662" s="2">
        <v>37.72</v>
      </c>
    </row>
    <row r="663" spans="1:7" x14ac:dyDescent="0.25">
      <c r="A6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240610-LUN002</v>
      </c>
      <c r="B663" s="1" t="str">
        <f>TEXT(Coffee_sales_clean[[#This Row],[Transaction Date]],"dddd")</f>
        <v>Monday</v>
      </c>
      <c r="C663" s="12">
        <v>45453</v>
      </c>
      <c r="D663" s="4">
        <v>0.53944754629629632</v>
      </c>
      <c r="E6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63" t="s">
        <v>0</v>
      </c>
      <c r="G663" s="2">
        <v>37.72</v>
      </c>
    </row>
    <row r="664" spans="1:7" x14ac:dyDescent="0.25">
      <c r="A6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240610-EVE001</v>
      </c>
      <c r="B664" s="1" t="str">
        <f>TEXT(Coffee_sales_clean[[#This Row],[Transaction Date]],"dddd")</f>
        <v>Monday</v>
      </c>
      <c r="C664" s="12">
        <v>45453</v>
      </c>
      <c r="D664" s="4">
        <v>0.79476974537037037</v>
      </c>
      <c r="E6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64" t="s">
        <v>1</v>
      </c>
      <c r="G664" s="2">
        <v>37.72</v>
      </c>
    </row>
    <row r="665" spans="1:7" x14ac:dyDescent="0.25">
      <c r="A6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240610-EVE002</v>
      </c>
      <c r="B665" s="1" t="str">
        <f>TEXT(Coffee_sales_clean[[#This Row],[Transaction Date]],"dddd")</f>
        <v>Monday</v>
      </c>
      <c r="C665" s="12">
        <v>45453</v>
      </c>
      <c r="D665" s="4">
        <v>0.7954024305555556</v>
      </c>
      <c r="E6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65" t="s">
        <v>1</v>
      </c>
      <c r="G665" s="2">
        <v>37.72</v>
      </c>
    </row>
    <row r="666" spans="1:7" x14ac:dyDescent="0.25">
      <c r="A6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240610-EVE003</v>
      </c>
      <c r="B666" s="1" t="str">
        <f>TEXT(Coffee_sales_clean[[#This Row],[Transaction Date]],"dddd")</f>
        <v>Monday</v>
      </c>
      <c r="C666" s="12">
        <v>45453</v>
      </c>
      <c r="D666" s="4">
        <v>0.81763428240740743</v>
      </c>
      <c r="E6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66" t="s">
        <v>0</v>
      </c>
      <c r="G666" s="2">
        <v>37.72</v>
      </c>
    </row>
    <row r="667" spans="1:7" x14ac:dyDescent="0.25">
      <c r="A6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240610-EVE004</v>
      </c>
      <c r="B667" s="1" t="str">
        <f>TEXT(Coffee_sales_clean[[#This Row],[Transaction Date]],"dddd")</f>
        <v>Monday</v>
      </c>
      <c r="C667" s="12">
        <v>45453</v>
      </c>
      <c r="D667" s="4">
        <v>0.81828331018518519</v>
      </c>
      <c r="E6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67" t="s">
        <v>0</v>
      </c>
      <c r="G667" s="2">
        <v>37.72</v>
      </c>
    </row>
    <row r="668" spans="1:7" x14ac:dyDescent="0.25">
      <c r="A6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240611-MOR001</v>
      </c>
      <c r="B668" s="1" t="str">
        <f>TEXT(Coffee_sales_clean[[#This Row],[Transaction Date]],"dddd")</f>
        <v>Tuesday</v>
      </c>
      <c r="C668" s="12">
        <v>45454</v>
      </c>
      <c r="D668" s="4">
        <v>0.44310130787037039</v>
      </c>
      <c r="E6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68" t="s">
        <v>3</v>
      </c>
      <c r="G668" s="2">
        <v>32.82</v>
      </c>
    </row>
    <row r="669" spans="1:7" x14ac:dyDescent="0.25">
      <c r="A6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240611-EVE001</v>
      </c>
      <c r="B669" s="1" t="str">
        <f>TEXT(Coffee_sales_clean[[#This Row],[Transaction Date]],"dddd")</f>
        <v>Tuesday</v>
      </c>
      <c r="C669" s="12">
        <v>45454</v>
      </c>
      <c r="D669" s="4">
        <v>0.78362606481481478</v>
      </c>
      <c r="E6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69" t="s">
        <v>0</v>
      </c>
      <c r="G669" s="2">
        <v>37.72</v>
      </c>
    </row>
    <row r="670" spans="1:7" x14ac:dyDescent="0.25">
      <c r="A6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240611-EVE002</v>
      </c>
      <c r="B670" s="1" t="str">
        <f>TEXT(Coffee_sales_clean[[#This Row],[Transaction Date]],"dddd")</f>
        <v>Tuesday</v>
      </c>
      <c r="C670" s="12">
        <v>45454</v>
      </c>
      <c r="D670" s="4">
        <v>0.78444939814814818</v>
      </c>
      <c r="E6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70" t="s">
        <v>0</v>
      </c>
      <c r="G670" s="2">
        <v>37.72</v>
      </c>
    </row>
    <row r="671" spans="1:7" x14ac:dyDescent="0.25">
      <c r="A6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240611-LAT001</v>
      </c>
      <c r="B671" s="1" t="str">
        <f>TEXT(Coffee_sales_clean[[#This Row],[Transaction Date]],"dddd")</f>
        <v>Tuesday</v>
      </c>
      <c r="C671" s="12">
        <v>45454</v>
      </c>
      <c r="D671" s="4">
        <v>0.88684425925925925</v>
      </c>
      <c r="E6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71" t="s">
        <v>1</v>
      </c>
      <c r="G671" s="2">
        <v>37.72</v>
      </c>
    </row>
    <row r="672" spans="1:7" x14ac:dyDescent="0.25">
      <c r="A6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240611-LAT002</v>
      </c>
      <c r="B672" s="1" t="str">
        <f>TEXT(Coffee_sales_clean[[#This Row],[Transaction Date]],"dddd")</f>
        <v>Tuesday</v>
      </c>
      <c r="C672" s="12">
        <v>45454</v>
      </c>
      <c r="D672" s="4">
        <v>0.89423495370370365</v>
      </c>
      <c r="E6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72" t="s">
        <v>3</v>
      </c>
      <c r="G672" s="2">
        <v>32.82</v>
      </c>
    </row>
    <row r="673" spans="1:7" x14ac:dyDescent="0.25">
      <c r="A6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240611-LAT003</v>
      </c>
      <c r="B673" s="1" t="str">
        <f>TEXT(Coffee_sales_clean[[#This Row],[Transaction Date]],"dddd")</f>
        <v>Tuesday</v>
      </c>
      <c r="C673" s="12">
        <v>45454</v>
      </c>
      <c r="D673" s="4">
        <v>0.89502569444444446</v>
      </c>
      <c r="E6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73" t="s">
        <v>3</v>
      </c>
      <c r="G673" s="2">
        <v>32.82</v>
      </c>
    </row>
    <row r="674" spans="1:7" x14ac:dyDescent="0.25">
      <c r="A6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240612-MOR001</v>
      </c>
      <c r="B674" s="1" t="str">
        <f>TEXT(Coffee_sales_clean[[#This Row],[Transaction Date]],"dddd")</f>
        <v>Wednesday</v>
      </c>
      <c r="C674" s="12">
        <v>45455</v>
      </c>
      <c r="D674" s="4">
        <v>0.42938409722222221</v>
      </c>
      <c r="E6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74" t="s">
        <v>1</v>
      </c>
      <c r="G674" s="2">
        <v>37.72</v>
      </c>
    </row>
    <row r="675" spans="1:7" x14ac:dyDescent="0.25">
      <c r="A6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240612-LUN001</v>
      </c>
      <c r="B675" s="1" t="str">
        <f>TEXT(Coffee_sales_clean[[#This Row],[Transaction Date]],"dddd")</f>
        <v>Wednesday</v>
      </c>
      <c r="C675" s="12">
        <v>45455</v>
      </c>
      <c r="D675" s="4">
        <v>0.49425761574074073</v>
      </c>
      <c r="E6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75" t="s">
        <v>7</v>
      </c>
      <c r="G675" s="2">
        <v>37.72</v>
      </c>
    </row>
    <row r="676" spans="1:7" x14ac:dyDescent="0.25">
      <c r="A6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240612-EVE001</v>
      </c>
      <c r="B676" s="1" t="str">
        <f>TEXT(Coffee_sales_clean[[#This Row],[Transaction Date]],"dddd")</f>
        <v>Wednesday</v>
      </c>
      <c r="C676" s="12">
        <v>45455</v>
      </c>
      <c r="D676" s="4">
        <v>0.73700438657407408</v>
      </c>
      <c r="E6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76" t="s">
        <v>0</v>
      </c>
      <c r="G676" s="2">
        <v>37.72</v>
      </c>
    </row>
    <row r="677" spans="1:7" x14ac:dyDescent="0.25">
      <c r="A6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240612-EVE002</v>
      </c>
      <c r="B677" s="1" t="str">
        <f>TEXT(Coffee_sales_clean[[#This Row],[Transaction Date]],"dddd")</f>
        <v>Wednesday</v>
      </c>
      <c r="C677" s="12">
        <v>45455</v>
      </c>
      <c r="D677" s="4">
        <v>0.74129488425925927</v>
      </c>
      <c r="E6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77" t="s">
        <v>0</v>
      </c>
      <c r="G677" s="2">
        <v>37.72</v>
      </c>
    </row>
    <row r="678" spans="1:7" x14ac:dyDescent="0.25">
      <c r="A6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240612-LAT001</v>
      </c>
      <c r="B678" s="1" t="str">
        <f>TEXT(Coffee_sales_clean[[#This Row],[Transaction Date]],"dddd")</f>
        <v>Wednesday</v>
      </c>
      <c r="C678" s="12">
        <v>45455</v>
      </c>
      <c r="D678" s="4">
        <v>0.84483388888888888</v>
      </c>
      <c r="E6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78" t="s">
        <v>1</v>
      </c>
      <c r="G678" s="2">
        <v>37.72</v>
      </c>
    </row>
    <row r="679" spans="1:7" x14ac:dyDescent="0.25">
      <c r="A6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240612-LAT002</v>
      </c>
      <c r="B679" s="1" t="str">
        <f>TEXT(Coffee_sales_clean[[#This Row],[Transaction Date]],"dddd")</f>
        <v>Wednesday</v>
      </c>
      <c r="C679" s="12">
        <v>45455</v>
      </c>
      <c r="D679" s="4">
        <v>0.85109072916666662</v>
      </c>
      <c r="E6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79" t="s">
        <v>3</v>
      </c>
      <c r="G679" s="2">
        <v>32.82</v>
      </c>
    </row>
    <row r="680" spans="1:7" x14ac:dyDescent="0.25">
      <c r="A6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240613-MOR001</v>
      </c>
      <c r="B680" s="1" t="str">
        <f>TEXT(Coffee_sales_clean[[#This Row],[Transaction Date]],"dddd")</f>
        <v>Thursday</v>
      </c>
      <c r="C680" s="12">
        <v>45456</v>
      </c>
      <c r="D680" s="4">
        <v>0.37111350694444445</v>
      </c>
      <c r="E6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80" t="s">
        <v>2</v>
      </c>
      <c r="G680" s="2">
        <v>27.92</v>
      </c>
    </row>
    <row r="681" spans="1:7" x14ac:dyDescent="0.25">
      <c r="A6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240613-MOR002</v>
      </c>
      <c r="B681" s="1" t="str">
        <f>TEXT(Coffee_sales_clean[[#This Row],[Transaction Date]],"dddd")</f>
        <v>Thursday</v>
      </c>
      <c r="C681" s="12">
        <v>45456</v>
      </c>
      <c r="D681" s="4">
        <v>0.37321287037037038</v>
      </c>
      <c r="E6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81" t="s">
        <v>0</v>
      </c>
      <c r="G681" s="2">
        <v>37.72</v>
      </c>
    </row>
    <row r="682" spans="1:7" x14ac:dyDescent="0.25">
      <c r="A6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240613-MOR003</v>
      </c>
      <c r="B682" s="1" t="str">
        <f>TEXT(Coffee_sales_clean[[#This Row],[Transaction Date]],"dddd")</f>
        <v>Thursday</v>
      </c>
      <c r="C682" s="12">
        <v>45456</v>
      </c>
      <c r="D682" s="4">
        <v>0.41001201388888892</v>
      </c>
      <c r="E6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82" t="s">
        <v>3</v>
      </c>
      <c r="G682" s="2">
        <v>32.82</v>
      </c>
    </row>
    <row r="683" spans="1:7" x14ac:dyDescent="0.25">
      <c r="A6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240613-MOR004</v>
      </c>
      <c r="B683" s="1" t="str">
        <f>TEXT(Coffee_sales_clean[[#This Row],[Transaction Date]],"dddd")</f>
        <v>Thursday</v>
      </c>
      <c r="C683" s="12">
        <v>45456</v>
      </c>
      <c r="D683" s="4">
        <v>0.4147166435185185</v>
      </c>
      <c r="E6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83" t="s">
        <v>5</v>
      </c>
      <c r="G683" s="2">
        <v>27.92</v>
      </c>
    </row>
    <row r="684" spans="1:7" x14ac:dyDescent="0.25">
      <c r="A6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240613-EVE001</v>
      </c>
      <c r="B684" s="1" t="str">
        <f>TEXT(Coffee_sales_clean[[#This Row],[Transaction Date]],"dddd")</f>
        <v>Thursday</v>
      </c>
      <c r="C684" s="12">
        <v>45456</v>
      </c>
      <c r="D684" s="4">
        <v>0.71178936342592591</v>
      </c>
      <c r="E6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84" t="s">
        <v>3</v>
      </c>
      <c r="G684" s="2">
        <v>32.82</v>
      </c>
    </row>
    <row r="685" spans="1:7" x14ac:dyDescent="0.25">
      <c r="A6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240613-EVE002</v>
      </c>
      <c r="B685" s="1" t="str">
        <f>TEXT(Coffee_sales_clean[[#This Row],[Transaction Date]],"dddd")</f>
        <v>Thursday</v>
      </c>
      <c r="C685" s="12">
        <v>45456</v>
      </c>
      <c r="D685" s="4">
        <v>0.72762298611111109</v>
      </c>
      <c r="E6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85" t="s">
        <v>1</v>
      </c>
      <c r="G685" s="2">
        <v>37.72</v>
      </c>
    </row>
    <row r="686" spans="1:7" x14ac:dyDescent="0.25">
      <c r="A6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240613-EVE003</v>
      </c>
      <c r="B686" s="1" t="str">
        <f>TEXT(Coffee_sales_clean[[#This Row],[Transaction Date]],"dddd")</f>
        <v>Thursday</v>
      </c>
      <c r="C686" s="12">
        <v>45456</v>
      </c>
      <c r="D686" s="4">
        <v>0.80716531250000001</v>
      </c>
      <c r="E6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86" t="s">
        <v>0</v>
      </c>
      <c r="G686" s="2">
        <v>37.72</v>
      </c>
    </row>
    <row r="687" spans="1:7" x14ac:dyDescent="0.25">
      <c r="A6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240613-LAT001</v>
      </c>
      <c r="B687" s="1" t="str">
        <f>TEXT(Coffee_sales_clean[[#This Row],[Transaction Date]],"dddd")</f>
        <v>Thursday</v>
      </c>
      <c r="C687" s="12">
        <v>45456</v>
      </c>
      <c r="D687" s="4">
        <v>0.8478213194444445</v>
      </c>
      <c r="E6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87" t="s">
        <v>3</v>
      </c>
      <c r="G687" s="2">
        <v>32.82</v>
      </c>
    </row>
    <row r="688" spans="1:7" x14ac:dyDescent="0.25">
      <c r="A6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240613-LAT002</v>
      </c>
      <c r="B688" s="1" t="str">
        <f>TEXT(Coffee_sales_clean[[#This Row],[Transaction Date]],"dddd")</f>
        <v>Thursday</v>
      </c>
      <c r="C688" s="12">
        <v>45456</v>
      </c>
      <c r="D688" s="4">
        <v>0.8637267476851852</v>
      </c>
      <c r="E6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88" t="s">
        <v>6</v>
      </c>
      <c r="G688" s="2">
        <v>23.02</v>
      </c>
    </row>
    <row r="689" spans="1:7" x14ac:dyDescent="0.25">
      <c r="A6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240613-LAT003</v>
      </c>
      <c r="B689" s="1" t="str">
        <f>TEXT(Coffee_sales_clean[[#This Row],[Transaction Date]],"dddd")</f>
        <v>Thursday</v>
      </c>
      <c r="C689" s="12">
        <v>45456</v>
      </c>
      <c r="D689" s="4">
        <v>0.8645904513888889</v>
      </c>
      <c r="E6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89" t="s">
        <v>6</v>
      </c>
      <c r="G689" s="2">
        <v>23.02</v>
      </c>
    </row>
    <row r="690" spans="1:7" x14ac:dyDescent="0.25">
      <c r="A6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240613-LAT004</v>
      </c>
      <c r="B690" s="1" t="str">
        <f>TEXT(Coffee_sales_clean[[#This Row],[Transaction Date]],"dddd")</f>
        <v>Thursday</v>
      </c>
      <c r="C690" s="12">
        <v>45456</v>
      </c>
      <c r="D690" s="4">
        <v>0.86687386574074077</v>
      </c>
      <c r="E6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90" t="s">
        <v>3</v>
      </c>
      <c r="G690" s="2">
        <v>32.82</v>
      </c>
    </row>
    <row r="691" spans="1:7" x14ac:dyDescent="0.25">
      <c r="A6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240613-LAT005</v>
      </c>
      <c r="B691" s="1" t="str">
        <f>TEXT(Coffee_sales_clean[[#This Row],[Transaction Date]],"dddd")</f>
        <v>Thursday</v>
      </c>
      <c r="C691" s="12">
        <v>45456</v>
      </c>
      <c r="D691" s="4">
        <v>0.87671732638888888</v>
      </c>
      <c r="E6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691" t="s">
        <v>3</v>
      </c>
      <c r="G691" s="2">
        <v>32.82</v>
      </c>
    </row>
    <row r="692" spans="1:7" x14ac:dyDescent="0.25">
      <c r="A6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240614-MOR001</v>
      </c>
      <c r="B692" s="1" t="str">
        <f>TEXT(Coffee_sales_clean[[#This Row],[Transaction Date]],"dddd")</f>
        <v>Friday</v>
      </c>
      <c r="C692" s="12">
        <v>45457</v>
      </c>
      <c r="D692" s="4">
        <v>0.3237643287037037</v>
      </c>
      <c r="E6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92" t="s">
        <v>5</v>
      </c>
      <c r="G692" s="2">
        <v>27.92</v>
      </c>
    </row>
    <row r="693" spans="1:7" x14ac:dyDescent="0.25">
      <c r="A6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240614-MOR002</v>
      </c>
      <c r="B693" s="1" t="str">
        <f>TEXT(Coffee_sales_clean[[#This Row],[Transaction Date]],"dddd")</f>
        <v>Friday</v>
      </c>
      <c r="C693" s="12">
        <v>45457</v>
      </c>
      <c r="D693" s="4">
        <v>0.43786555555555556</v>
      </c>
      <c r="E6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693" t="s">
        <v>2</v>
      </c>
      <c r="G693" s="2">
        <v>27.92</v>
      </c>
    </row>
    <row r="694" spans="1:7" x14ac:dyDescent="0.25">
      <c r="A6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240614-LUN001</v>
      </c>
      <c r="B694" s="1" t="str">
        <f>TEXT(Coffee_sales_clean[[#This Row],[Transaction Date]],"dddd")</f>
        <v>Friday</v>
      </c>
      <c r="C694" s="12">
        <v>45457</v>
      </c>
      <c r="D694" s="4">
        <v>0.51020481481481483</v>
      </c>
      <c r="E6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94" t="s">
        <v>0</v>
      </c>
      <c r="G694" s="2">
        <v>37.72</v>
      </c>
    </row>
    <row r="695" spans="1:7" x14ac:dyDescent="0.25">
      <c r="A6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240614-EVE001</v>
      </c>
      <c r="B695" s="1" t="str">
        <f>TEXT(Coffee_sales_clean[[#This Row],[Transaction Date]],"dddd")</f>
        <v>Friday</v>
      </c>
      <c r="C695" s="12">
        <v>45457</v>
      </c>
      <c r="D695" s="4">
        <v>0.77075693287037039</v>
      </c>
      <c r="E6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695" t="s">
        <v>3</v>
      </c>
      <c r="G695" s="2">
        <v>32.82</v>
      </c>
    </row>
    <row r="696" spans="1:7" x14ac:dyDescent="0.25">
      <c r="A6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240615-LUN001</v>
      </c>
      <c r="B696" s="1" t="str">
        <f>TEXT(Coffee_sales_clean[[#This Row],[Transaction Date]],"dddd")</f>
        <v>Saturday</v>
      </c>
      <c r="C696" s="12">
        <v>45458</v>
      </c>
      <c r="D696" s="4">
        <v>0.47641173611111109</v>
      </c>
      <c r="E6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96" t="s">
        <v>7</v>
      </c>
      <c r="G696" s="2">
        <v>37.72</v>
      </c>
    </row>
    <row r="697" spans="1:7" x14ac:dyDescent="0.25">
      <c r="A6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240615-LUN002</v>
      </c>
      <c r="B697" s="1" t="str">
        <f>TEXT(Coffee_sales_clean[[#This Row],[Transaction Date]],"dddd")</f>
        <v>Saturday</v>
      </c>
      <c r="C697" s="12">
        <v>45458</v>
      </c>
      <c r="D697" s="4">
        <v>0.51490896990740742</v>
      </c>
      <c r="E6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97" t="s">
        <v>0</v>
      </c>
      <c r="G697" s="2">
        <v>37.72</v>
      </c>
    </row>
    <row r="698" spans="1:7" x14ac:dyDescent="0.25">
      <c r="A6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240615-LUN003</v>
      </c>
      <c r="B698" s="1" t="str">
        <f>TEXT(Coffee_sales_clean[[#This Row],[Transaction Date]],"dddd")</f>
        <v>Saturday</v>
      </c>
      <c r="C698" s="12">
        <v>45458</v>
      </c>
      <c r="D698" s="4">
        <v>0.515821087962963</v>
      </c>
      <c r="E6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98" t="s">
        <v>3</v>
      </c>
      <c r="G698" s="2">
        <v>32.82</v>
      </c>
    </row>
    <row r="699" spans="1:7" x14ac:dyDescent="0.25">
      <c r="A6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240615-LUN004</v>
      </c>
      <c r="B699" s="1" t="str">
        <f>TEXT(Coffee_sales_clean[[#This Row],[Transaction Date]],"dddd")</f>
        <v>Saturday</v>
      </c>
      <c r="C699" s="12">
        <v>45458</v>
      </c>
      <c r="D699" s="4">
        <v>0.51657599537037036</v>
      </c>
      <c r="E6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699" t="s">
        <v>6</v>
      </c>
      <c r="G699" s="2">
        <v>23.02</v>
      </c>
    </row>
    <row r="700" spans="1:7" x14ac:dyDescent="0.25">
      <c r="A7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240615-LUN005</v>
      </c>
      <c r="B700" s="1" t="str">
        <f>TEXT(Coffee_sales_clean[[#This Row],[Transaction Date]],"dddd")</f>
        <v>Saturday</v>
      </c>
      <c r="C700" s="12">
        <v>45458</v>
      </c>
      <c r="D700" s="4">
        <v>0.51707326388888886</v>
      </c>
      <c r="E7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00" t="s">
        <v>4</v>
      </c>
      <c r="G700" s="2">
        <v>37.72</v>
      </c>
    </row>
    <row r="701" spans="1:7" x14ac:dyDescent="0.25">
      <c r="A7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240615-LUN006</v>
      </c>
      <c r="B701" s="1" t="str">
        <f>TEXT(Coffee_sales_clean[[#This Row],[Transaction Date]],"dddd")</f>
        <v>Saturday</v>
      </c>
      <c r="C701" s="12">
        <v>45458</v>
      </c>
      <c r="D701" s="4">
        <v>0.5176384259259259</v>
      </c>
      <c r="E7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01" t="s">
        <v>3</v>
      </c>
      <c r="G701" s="2">
        <v>32.82</v>
      </c>
    </row>
    <row r="702" spans="1:7" x14ac:dyDescent="0.25">
      <c r="A7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240615-AFT001</v>
      </c>
      <c r="B702" s="1" t="str">
        <f>TEXT(Coffee_sales_clean[[#This Row],[Transaction Date]],"dddd")</f>
        <v>Saturday</v>
      </c>
      <c r="C702" s="12">
        <v>45458</v>
      </c>
      <c r="D702" s="4">
        <v>0.6690961689814815</v>
      </c>
      <c r="E7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02" t="s">
        <v>3</v>
      </c>
      <c r="G702" s="2">
        <v>32.82</v>
      </c>
    </row>
    <row r="703" spans="1:7" x14ac:dyDescent="0.25">
      <c r="A7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240615-EVE001</v>
      </c>
      <c r="B703" s="1" t="str">
        <f>TEXT(Coffee_sales_clean[[#This Row],[Transaction Date]],"dddd")</f>
        <v>Saturday</v>
      </c>
      <c r="C703" s="12">
        <v>45458</v>
      </c>
      <c r="D703" s="4">
        <v>0.75977572916666669</v>
      </c>
      <c r="E7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03" t="s">
        <v>2</v>
      </c>
      <c r="G703" s="2">
        <v>27.92</v>
      </c>
    </row>
    <row r="704" spans="1:7" x14ac:dyDescent="0.25">
      <c r="A7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240616-MOR001</v>
      </c>
      <c r="B704" s="1" t="str">
        <f>TEXT(Coffee_sales_clean[[#This Row],[Transaction Date]],"dddd")</f>
        <v>Sunday</v>
      </c>
      <c r="C704" s="12">
        <v>45459</v>
      </c>
      <c r="D704" s="4">
        <v>0.44712333333333332</v>
      </c>
      <c r="E7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04" t="s">
        <v>3</v>
      </c>
      <c r="G704" s="2">
        <v>32.82</v>
      </c>
    </row>
    <row r="705" spans="1:7" x14ac:dyDescent="0.25">
      <c r="A7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240616-MOR002</v>
      </c>
      <c r="B705" s="1" t="str">
        <f>TEXT(Coffee_sales_clean[[#This Row],[Transaction Date]],"dddd")</f>
        <v>Sunday</v>
      </c>
      <c r="C705" s="12">
        <v>45459</v>
      </c>
      <c r="D705" s="4">
        <v>0.45742321759259258</v>
      </c>
      <c r="E7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05" t="s">
        <v>0</v>
      </c>
      <c r="G705" s="2">
        <v>37.72</v>
      </c>
    </row>
    <row r="706" spans="1:7" x14ac:dyDescent="0.25">
      <c r="A7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240616-LUN001</v>
      </c>
      <c r="B706" s="1" t="str">
        <f>TEXT(Coffee_sales_clean[[#This Row],[Transaction Date]],"dddd")</f>
        <v>Sunday</v>
      </c>
      <c r="C706" s="12">
        <v>45459</v>
      </c>
      <c r="D706" s="4">
        <v>0.45877535879629627</v>
      </c>
      <c r="E7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06" t="s">
        <v>1</v>
      </c>
      <c r="G706" s="2">
        <v>37.72</v>
      </c>
    </row>
    <row r="707" spans="1:7" x14ac:dyDescent="0.25">
      <c r="A7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240616-LUN002</v>
      </c>
      <c r="B707" s="1" t="str">
        <f>TEXT(Coffee_sales_clean[[#This Row],[Transaction Date]],"dddd")</f>
        <v>Sunday</v>
      </c>
      <c r="C707" s="12">
        <v>45459</v>
      </c>
      <c r="D707" s="4">
        <v>0.45950796296296298</v>
      </c>
      <c r="E7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07" t="s">
        <v>1</v>
      </c>
      <c r="G707" s="2">
        <v>37.72</v>
      </c>
    </row>
    <row r="708" spans="1:7" x14ac:dyDescent="0.25">
      <c r="A7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240616-LUN003</v>
      </c>
      <c r="B708" s="1" t="str">
        <f>TEXT(Coffee_sales_clean[[#This Row],[Transaction Date]],"dddd")</f>
        <v>Sunday</v>
      </c>
      <c r="C708" s="12">
        <v>45459</v>
      </c>
      <c r="D708" s="4">
        <v>0.53434749999999998</v>
      </c>
      <c r="E7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08" t="s">
        <v>3</v>
      </c>
      <c r="G708" s="2">
        <v>32.82</v>
      </c>
    </row>
    <row r="709" spans="1:7" x14ac:dyDescent="0.25">
      <c r="A7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240616-AFT001</v>
      </c>
      <c r="B709" s="1" t="str">
        <f>TEXT(Coffee_sales_clean[[#This Row],[Transaction Date]],"dddd")</f>
        <v>Sunday</v>
      </c>
      <c r="C709" s="12">
        <v>45459</v>
      </c>
      <c r="D709" s="4">
        <v>0.58378462962962963</v>
      </c>
      <c r="E7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09" t="s">
        <v>6</v>
      </c>
      <c r="G709" s="2">
        <v>23.02</v>
      </c>
    </row>
    <row r="710" spans="1:7" x14ac:dyDescent="0.25">
      <c r="A7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240616-AFT002</v>
      </c>
      <c r="B710" s="1" t="str">
        <f>TEXT(Coffee_sales_clean[[#This Row],[Transaction Date]],"dddd")</f>
        <v>Sunday</v>
      </c>
      <c r="C710" s="12">
        <v>45459</v>
      </c>
      <c r="D710" s="4">
        <v>0.62680939814814818</v>
      </c>
      <c r="E7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10" t="s">
        <v>3</v>
      </c>
      <c r="G710" s="2">
        <v>32.82</v>
      </c>
    </row>
    <row r="711" spans="1:7" x14ac:dyDescent="0.25">
      <c r="A7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240616-AFT003</v>
      </c>
      <c r="B711" s="1" t="str">
        <f>TEXT(Coffee_sales_clean[[#This Row],[Transaction Date]],"dddd")</f>
        <v>Sunday</v>
      </c>
      <c r="C711" s="12">
        <v>45459</v>
      </c>
      <c r="D711" s="4">
        <v>0.62859283564814816</v>
      </c>
      <c r="E7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11" t="s">
        <v>3</v>
      </c>
      <c r="G711" s="2">
        <v>32.82</v>
      </c>
    </row>
    <row r="712" spans="1:7" x14ac:dyDescent="0.25">
      <c r="A7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240616-AFT004</v>
      </c>
      <c r="B712" s="1" t="str">
        <f>TEXT(Coffee_sales_clean[[#This Row],[Transaction Date]],"dddd")</f>
        <v>Sunday</v>
      </c>
      <c r="C712" s="12">
        <v>45459</v>
      </c>
      <c r="D712" s="4">
        <v>0.65555084490740745</v>
      </c>
      <c r="E7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12" t="s">
        <v>1</v>
      </c>
      <c r="G712" s="2">
        <v>37.72</v>
      </c>
    </row>
    <row r="713" spans="1:7" x14ac:dyDescent="0.25">
      <c r="A7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240616-AFT005</v>
      </c>
      <c r="B713" s="1" t="str">
        <f>TEXT(Coffee_sales_clean[[#This Row],[Transaction Date]],"dddd")</f>
        <v>Sunday</v>
      </c>
      <c r="C713" s="12">
        <v>45459</v>
      </c>
      <c r="D713" s="4">
        <v>0.69972825231481484</v>
      </c>
      <c r="E7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13" t="s">
        <v>1</v>
      </c>
      <c r="G713" s="2">
        <v>37.72</v>
      </c>
    </row>
    <row r="714" spans="1:7" x14ac:dyDescent="0.25">
      <c r="A7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240616-EVE001</v>
      </c>
      <c r="B714" s="1" t="str">
        <f>TEXT(Coffee_sales_clean[[#This Row],[Transaction Date]],"dddd")</f>
        <v>Sunday</v>
      </c>
      <c r="C714" s="12">
        <v>45459</v>
      </c>
      <c r="D714" s="4">
        <v>0.73978318287037037</v>
      </c>
      <c r="E7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14" t="s">
        <v>3</v>
      </c>
      <c r="G714" s="2">
        <v>32.82</v>
      </c>
    </row>
    <row r="715" spans="1:7" x14ac:dyDescent="0.25">
      <c r="A7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240616-EVE002</v>
      </c>
      <c r="B715" s="1" t="str">
        <f>TEXT(Coffee_sales_clean[[#This Row],[Transaction Date]],"dddd")</f>
        <v>Sunday</v>
      </c>
      <c r="C715" s="12">
        <v>45459</v>
      </c>
      <c r="D715" s="4">
        <v>0.74046937499999999</v>
      </c>
      <c r="E7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15" t="s">
        <v>3</v>
      </c>
      <c r="G715" s="2">
        <v>32.82</v>
      </c>
    </row>
    <row r="716" spans="1:7" x14ac:dyDescent="0.25">
      <c r="A7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240617-MOR001</v>
      </c>
      <c r="B716" s="1" t="str">
        <f>TEXT(Coffee_sales_clean[[#This Row],[Transaction Date]],"dddd")</f>
        <v>Monday</v>
      </c>
      <c r="C716" s="12">
        <v>45460</v>
      </c>
      <c r="D716" s="4">
        <v>0.3731949537037037</v>
      </c>
      <c r="E7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16" t="s">
        <v>2</v>
      </c>
      <c r="G716" s="2">
        <v>27.92</v>
      </c>
    </row>
    <row r="717" spans="1:7" x14ac:dyDescent="0.25">
      <c r="A7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240617-MOR002</v>
      </c>
      <c r="B717" s="1" t="str">
        <f>TEXT(Coffee_sales_clean[[#This Row],[Transaction Date]],"dddd")</f>
        <v>Monday</v>
      </c>
      <c r="C717" s="12">
        <v>45460</v>
      </c>
      <c r="D717" s="4">
        <v>0.42505947916666664</v>
      </c>
      <c r="E7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17" t="s">
        <v>5</v>
      </c>
      <c r="G717" s="2">
        <v>27.92</v>
      </c>
    </row>
    <row r="718" spans="1:7" x14ac:dyDescent="0.25">
      <c r="A7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240617-MOR003</v>
      </c>
      <c r="B718" s="1" t="str">
        <f>TEXT(Coffee_sales_clean[[#This Row],[Transaction Date]],"dddd")</f>
        <v>Monday</v>
      </c>
      <c r="C718" s="12">
        <v>45460</v>
      </c>
      <c r="D718" s="4">
        <v>0.42612934027777777</v>
      </c>
      <c r="E7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18" t="s">
        <v>5</v>
      </c>
      <c r="G718" s="2">
        <v>27.92</v>
      </c>
    </row>
    <row r="719" spans="1:7" x14ac:dyDescent="0.25">
      <c r="A7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240617-MOR004</v>
      </c>
      <c r="B719" s="1" t="str">
        <f>TEXT(Coffee_sales_clean[[#This Row],[Transaction Date]],"dddd")</f>
        <v>Monday</v>
      </c>
      <c r="C719" s="12">
        <v>45460</v>
      </c>
      <c r="D719" s="4">
        <v>0.45545842592592595</v>
      </c>
      <c r="E7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19" t="s">
        <v>7</v>
      </c>
      <c r="G719" s="2">
        <v>37.72</v>
      </c>
    </row>
    <row r="720" spans="1:7" x14ac:dyDescent="0.25">
      <c r="A7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240617-AFT001</v>
      </c>
      <c r="B720" s="1" t="str">
        <f>TEXT(Coffee_sales_clean[[#This Row],[Transaction Date]],"dddd")</f>
        <v>Monday</v>
      </c>
      <c r="C720" s="12">
        <v>45460</v>
      </c>
      <c r="D720" s="4">
        <v>0.61915950231481487</v>
      </c>
      <c r="E7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20" t="s">
        <v>7</v>
      </c>
      <c r="G720" s="2">
        <v>37.72</v>
      </c>
    </row>
    <row r="721" spans="1:7" x14ac:dyDescent="0.25">
      <c r="A7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240617-AFT002</v>
      </c>
      <c r="B721" s="1" t="str">
        <f>TEXT(Coffee_sales_clean[[#This Row],[Transaction Date]],"dddd")</f>
        <v>Monday</v>
      </c>
      <c r="C721" s="12">
        <v>45460</v>
      </c>
      <c r="D721" s="4">
        <v>0.70154445601851856</v>
      </c>
      <c r="E7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21" t="s">
        <v>7</v>
      </c>
      <c r="G721" s="2">
        <v>37.72</v>
      </c>
    </row>
    <row r="722" spans="1:7" x14ac:dyDescent="0.25">
      <c r="A7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240617-AFT003</v>
      </c>
      <c r="B722" s="1" t="str">
        <f>TEXT(Coffee_sales_clean[[#This Row],[Transaction Date]],"dddd")</f>
        <v>Monday</v>
      </c>
      <c r="C722" s="12">
        <v>45460</v>
      </c>
      <c r="D722" s="4">
        <v>0.70221108796296294</v>
      </c>
      <c r="E7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22" t="s">
        <v>7</v>
      </c>
      <c r="G722" s="2">
        <v>37.72</v>
      </c>
    </row>
    <row r="723" spans="1:7" x14ac:dyDescent="0.25">
      <c r="A7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240617-AFT004</v>
      </c>
      <c r="B723" s="1" t="str">
        <f>TEXT(Coffee_sales_clean[[#This Row],[Transaction Date]],"dddd")</f>
        <v>Monday</v>
      </c>
      <c r="C723" s="12">
        <v>45460</v>
      </c>
      <c r="D723" s="4">
        <v>0.70319833333333337</v>
      </c>
      <c r="E7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23" t="s">
        <v>2</v>
      </c>
      <c r="G723" s="2">
        <v>27.92</v>
      </c>
    </row>
    <row r="724" spans="1:7" x14ac:dyDescent="0.25">
      <c r="A7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240617-EVE001</v>
      </c>
      <c r="B724" s="1" t="str">
        <f>TEXT(Coffee_sales_clean[[#This Row],[Transaction Date]],"dddd")</f>
        <v>Monday</v>
      </c>
      <c r="C724" s="12">
        <v>45460</v>
      </c>
      <c r="D724" s="4">
        <v>0.78564387731481478</v>
      </c>
      <c r="E7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24" t="s">
        <v>2</v>
      </c>
      <c r="G724" s="2">
        <v>27.92</v>
      </c>
    </row>
    <row r="725" spans="1:7" x14ac:dyDescent="0.25">
      <c r="A7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240617-LAT001</v>
      </c>
      <c r="B725" s="1" t="str">
        <f>TEXT(Coffee_sales_clean[[#This Row],[Transaction Date]],"dddd")</f>
        <v>Monday</v>
      </c>
      <c r="C725" s="12">
        <v>45460</v>
      </c>
      <c r="D725" s="4">
        <v>0.88624403935185181</v>
      </c>
      <c r="E7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25" t="s">
        <v>3</v>
      </c>
      <c r="G725" s="2">
        <v>32.82</v>
      </c>
    </row>
    <row r="726" spans="1:7" x14ac:dyDescent="0.25">
      <c r="A7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240618-AFT001</v>
      </c>
      <c r="B726" s="1" t="str">
        <f>TEXT(Coffee_sales_clean[[#This Row],[Transaction Date]],"dddd")</f>
        <v>Tuesday</v>
      </c>
      <c r="C726" s="12">
        <v>45461</v>
      </c>
      <c r="D726" s="4">
        <v>0.58618200231481477</v>
      </c>
      <c r="E7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26" t="s">
        <v>2</v>
      </c>
      <c r="G726" s="2">
        <v>27.92</v>
      </c>
    </row>
    <row r="727" spans="1:7" x14ac:dyDescent="0.25">
      <c r="A7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240618-AFT002</v>
      </c>
      <c r="B727" s="1" t="str">
        <f>TEXT(Coffee_sales_clean[[#This Row],[Transaction Date]],"dddd")</f>
        <v>Tuesday</v>
      </c>
      <c r="C727" s="12">
        <v>45461</v>
      </c>
      <c r="D727" s="4">
        <v>0.58694806712962966</v>
      </c>
      <c r="E7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27" t="s">
        <v>7</v>
      </c>
      <c r="G727" s="2">
        <v>37.72</v>
      </c>
    </row>
    <row r="728" spans="1:7" x14ac:dyDescent="0.25">
      <c r="A7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240618-EVE001</v>
      </c>
      <c r="B728" s="1" t="str">
        <f>TEXT(Coffee_sales_clean[[#This Row],[Transaction Date]],"dddd")</f>
        <v>Tuesday</v>
      </c>
      <c r="C728" s="12">
        <v>45461</v>
      </c>
      <c r="D728" s="4">
        <v>0.80602512731481479</v>
      </c>
      <c r="E7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28" t="s">
        <v>7</v>
      </c>
      <c r="G728" s="2">
        <v>37.72</v>
      </c>
    </row>
    <row r="729" spans="1:7" x14ac:dyDescent="0.25">
      <c r="A7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240618-EVE002</v>
      </c>
      <c r="B729" s="1" t="str">
        <f>TEXT(Coffee_sales_clean[[#This Row],[Transaction Date]],"dddd")</f>
        <v>Tuesday</v>
      </c>
      <c r="C729" s="12">
        <v>45461</v>
      </c>
      <c r="D729" s="4">
        <v>0.80670013888888892</v>
      </c>
      <c r="E7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29" t="s">
        <v>7</v>
      </c>
      <c r="G729" s="2">
        <v>37.72</v>
      </c>
    </row>
    <row r="730" spans="1:7" x14ac:dyDescent="0.25">
      <c r="A7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240618-LAT001</v>
      </c>
      <c r="B730" s="1" t="str">
        <f>TEXT(Coffee_sales_clean[[#This Row],[Transaction Date]],"dddd")</f>
        <v>Tuesday</v>
      </c>
      <c r="C730" s="12">
        <v>45461</v>
      </c>
      <c r="D730" s="4">
        <v>0.85821177083333333</v>
      </c>
      <c r="E7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30" t="s">
        <v>5</v>
      </c>
      <c r="G730" s="2">
        <v>27.92</v>
      </c>
    </row>
    <row r="731" spans="1:7" x14ac:dyDescent="0.25">
      <c r="A7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240618-LAT002</v>
      </c>
      <c r="B731" s="1" t="str">
        <f>TEXT(Coffee_sales_clean[[#This Row],[Transaction Date]],"dddd")</f>
        <v>Tuesday</v>
      </c>
      <c r="C731" s="12">
        <v>45461</v>
      </c>
      <c r="D731" s="4">
        <v>0.8894621064814815</v>
      </c>
      <c r="E7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31" t="s">
        <v>3</v>
      </c>
      <c r="G731" s="2">
        <v>32.82</v>
      </c>
    </row>
    <row r="732" spans="1:7" x14ac:dyDescent="0.25">
      <c r="A7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240618-LAT003</v>
      </c>
      <c r="B732" s="1" t="str">
        <f>TEXT(Coffee_sales_clean[[#This Row],[Transaction Date]],"dddd")</f>
        <v>Tuesday</v>
      </c>
      <c r="C732" s="12">
        <v>45461</v>
      </c>
      <c r="D732" s="4">
        <v>0.89049210648148147</v>
      </c>
      <c r="E7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32" t="s">
        <v>3</v>
      </c>
      <c r="G732" s="2">
        <v>32.82</v>
      </c>
    </row>
    <row r="733" spans="1:7" x14ac:dyDescent="0.25">
      <c r="A7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240619-MOR001</v>
      </c>
      <c r="B733" s="1" t="str">
        <f>TEXT(Coffee_sales_clean[[#This Row],[Transaction Date]],"dddd")</f>
        <v>Wednesday</v>
      </c>
      <c r="C733" s="12">
        <v>45462</v>
      </c>
      <c r="D733" s="4">
        <v>0.32453510416666664</v>
      </c>
      <c r="E7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33" t="s">
        <v>0</v>
      </c>
      <c r="G733" s="2">
        <v>37.72</v>
      </c>
    </row>
    <row r="734" spans="1:7" x14ac:dyDescent="0.25">
      <c r="A7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240619-MOR002</v>
      </c>
      <c r="B734" s="1" t="str">
        <f>TEXT(Coffee_sales_clean[[#This Row],[Transaction Date]],"dddd")</f>
        <v>Wednesday</v>
      </c>
      <c r="C734" s="12">
        <v>45462</v>
      </c>
      <c r="D734" s="4">
        <v>0.34576976851851854</v>
      </c>
      <c r="E7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34" t="s">
        <v>5</v>
      </c>
      <c r="G734" s="2">
        <v>27.92</v>
      </c>
    </row>
    <row r="735" spans="1:7" x14ac:dyDescent="0.25">
      <c r="A7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240619-MOR003</v>
      </c>
      <c r="B735" s="1" t="str">
        <f>TEXT(Coffee_sales_clean[[#This Row],[Transaction Date]],"dddd")</f>
        <v>Wednesday</v>
      </c>
      <c r="C735" s="12">
        <v>45462</v>
      </c>
      <c r="D735" s="4">
        <v>0.45417236111111109</v>
      </c>
      <c r="E7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35" t="s">
        <v>2</v>
      </c>
      <c r="G735" s="2">
        <v>27.92</v>
      </c>
    </row>
    <row r="736" spans="1:7" x14ac:dyDescent="0.25">
      <c r="A7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240619-LUN001</v>
      </c>
      <c r="B736" s="1" t="str">
        <f>TEXT(Coffee_sales_clean[[#This Row],[Transaction Date]],"dddd")</f>
        <v>Wednesday</v>
      </c>
      <c r="C736" s="12">
        <v>45462</v>
      </c>
      <c r="D736" s="4">
        <v>0.4662940625</v>
      </c>
      <c r="E7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36" t="s">
        <v>0</v>
      </c>
      <c r="G736" s="2">
        <v>37.72</v>
      </c>
    </row>
    <row r="737" spans="1:7" x14ac:dyDescent="0.25">
      <c r="A7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240619-LUN002</v>
      </c>
      <c r="B737" s="1" t="str">
        <f>TEXT(Coffee_sales_clean[[#This Row],[Transaction Date]],"dddd")</f>
        <v>Wednesday</v>
      </c>
      <c r="C737" s="12">
        <v>45462</v>
      </c>
      <c r="D737" s="4">
        <v>0.46703023148148148</v>
      </c>
      <c r="E7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37" t="s">
        <v>4</v>
      </c>
      <c r="G737" s="2">
        <v>37.72</v>
      </c>
    </row>
    <row r="738" spans="1:7" x14ac:dyDescent="0.25">
      <c r="A7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240619-AFT001</v>
      </c>
      <c r="B738" s="1" t="str">
        <f>TEXT(Coffee_sales_clean[[#This Row],[Transaction Date]],"dddd")</f>
        <v>Wednesday</v>
      </c>
      <c r="C738" s="12">
        <v>45462</v>
      </c>
      <c r="D738" s="4">
        <v>0.59833631944444443</v>
      </c>
      <c r="E7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38" t="s">
        <v>3</v>
      </c>
      <c r="G738" s="2">
        <v>32.82</v>
      </c>
    </row>
    <row r="739" spans="1:7" x14ac:dyDescent="0.25">
      <c r="A7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240619-EVE001</v>
      </c>
      <c r="B739" s="1" t="str">
        <f>TEXT(Coffee_sales_clean[[#This Row],[Transaction Date]],"dddd")</f>
        <v>Wednesday</v>
      </c>
      <c r="C739" s="12">
        <v>45462</v>
      </c>
      <c r="D739" s="4">
        <v>0.76994718750000002</v>
      </c>
      <c r="E7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39" t="s">
        <v>7</v>
      </c>
      <c r="G739" s="2">
        <v>37.72</v>
      </c>
    </row>
    <row r="740" spans="1:7" x14ac:dyDescent="0.25">
      <c r="A7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240619-EVE002</v>
      </c>
      <c r="B740" s="1" t="str">
        <f>TEXT(Coffee_sales_clean[[#This Row],[Transaction Date]],"dddd")</f>
        <v>Wednesday</v>
      </c>
      <c r="C740" s="12">
        <v>45462</v>
      </c>
      <c r="D740" s="4">
        <v>0.7708213078703704</v>
      </c>
      <c r="E7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40" t="s">
        <v>0</v>
      </c>
      <c r="G740" s="2">
        <v>37.72</v>
      </c>
    </row>
    <row r="741" spans="1:7" x14ac:dyDescent="0.25">
      <c r="A7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240619-EVE003</v>
      </c>
      <c r="B741" s="1" t="str">
        <f>TEXT(Coffee_sales_clean[[#This Row],[Transaction Date]],"dddd")</f>
        <v>Wednesday</v>
      </c>
      <c r="C741" s="12">
        <v>45462</v>
      </c>
      <c r="D741" s="4">
        <v>0.8135566319444445</v>
      </c>
      <c r="E7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41" t="s">
        <v>3</v>
      </c>
      <c r="G741" s="2">
        <v>32.82</v>
      </c>
    </row>
    <row r="742" spans="1:7" x14ac:dyDescent="0.25">
      <c r="A7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240619-LAT001</v>
      </c>
      <c r="B742" s="1" t="str">
        <f>TEXT(Coffee_sales_clean[[#This Row],[Transaction Date]],"dddd")</f>
        <v>Wednesday</v>
      </c>
      <c r="C742" s="12">
        <v>45462</v>
      </c>
      <c r="D742" s="4">
        <v>0.89513292824074076</v>
      </c>
      <c r="E7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42" t="s">
        <v>7</v>
      </c>
      <c r="G742" s="2">
        <v>37.72</v>
      </c>
    </row>
    <row r="743" spans="1:7" x14ac:dyDescent="0.25">
      <c r="A7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240619-LAT002</v>
      </c>
      <c r="B743" s="1" t="str">
        <f>TEXT(Coffee_sales_clean[[#This Row],[Transaction Date]],"dddd")</f>
        <v>Wednesday</v>
      </c>
      <c r="C743" s="12">
        <v>45462</v>
      </c>
      <c r="D743" s="4">
        <v>0.89587365740740743</v>
      </c>
      <c r="E7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43" t="s">
        <v>3</v>
      </c>
      <c r="G743" s="2">
        <v>32.82</v>
      </c>
    </row>
    <row r="744" spans="1:7" x14ac:dyDescent="0.25">
      <c r="A7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240620-MOR001</v>
      </c>
      <c r="B744" s="1" t="str">
        <f>TEXT(Coffee_sales_clean[[#This Row],[Transaction Date]],"dddd")</f>
        <v>Thursday</v>
      </c>
      <c r="C744" s="12">
        <v>45463</v>
      </c>
      <c r="D744" s="4">
        <v>0.4514635763888889</v>
      </c>
      <c r="E7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44" t="s">
        <v>0</v>
      </c>
      <c r="G744" s="2">
        <v>37.72</v>
      </c>
    </row>
    <row r="745" spans="1:7" x14ac:dyDescent="0.25">
      <c r="A7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240620-EVE001</v>
      </c>
      <c r="B745" s="1" t="str">
        <f>TEXT(Coffee_sales_clean[[#This Row],[Transaction Date]],"dddd")</f>
        <v>Thursday</v>
      </c>
      <c r="C745" s="12">
        <v>45463</v>
      </c>
      <c r="D745" s="4">
        <v>0.79099631944444448</v>
      </c>
      <c r="E7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45" t="s">
        <v>0</v>
      </c>
      <c r="G745" s="2">
        <v>37.72</v>
      </c>
    </row>
    <row r="746" spans="1:7" x14ac:dyDescent="0.25">
      <c r="A7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240620-EVE002</v>
      </c>
      <c r="B746" s="1" t="str">
        <f>TEXT(Coffee_sales_clean[[#This Row],[Transaction Date]],"dddd")</f>
        <v>Thursday</v>
      </c>
      <c r="C746" s="12">
        <v>45463</v>
      </c>
      <c r="D746" s="4">
        <v>0.79166940972222222</v>
      </c>
      <c r="E7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46" t="s">
        <v>0</v>
      </c>
      <c r="G746" s="2">
        <v>37.72</v>
      </c>
    </row>
    <row r="747" spans="1:7" x14ac:dyDescent="0.25">
      <c r="A7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240620-LAT001</v>
      </c>
      <c r="B747" s="1" t="str">
        <f>TEXT(Coffee_sales_clean[[#This Row],[Transaction Date]],"dddd")</f>
        <v>Thursday</v>
      </c>
      <c r="C747" s="12">
        <v>45463</v>
      </c>
      <c r="D747" s="4">
        <v>0.90219922453703705</v>
      </c>
      <c r="E7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47" t="s">
        <v>0</v>
      </c>
      <c r="G747" s="2">
        <v>37.72</v>
      </c>
    </row>
    <row r="748" spans="1:7" x14ac:dyDescent="0.25">
      <c r="A7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240620-LAT002</v>
      </c>
      <c r="B748" s="1" t="str">
        <f>TEXT(Coffee_sales_clean[[#This Row],[Transaction Date]],"dddd")</f>
        <v>Thursday</v>
      </c>
      <c r="C748" s="12">
        <v>45463</v>
      </c>
      <c r="D748" s="4">
        <v>0.9150527083333333</v>
      </c>
      <c r="E7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48" t="s">
        <v>0</v>
      </c>
      <c r="G748" s="2">
        <v>37.72</v>
      </c>
    </row>
    <row r="749" spans="1:7" x14ac:dyDescent="0.25">
      <c r="A7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240620-LAT003</v>
      </c>
      <c r="B749" s="1" t="str">
        <f>TEXT(Coffee_sales_clean[[#This Row],[Transaction Date]],"dddd")</f>
        <v>Thursday</v>
      </c>
      <c r="C749" s="12">
        <v>45463</v>
      </c>
      <c r="D749" s="4">
        <v>0.91617590277777783</v>
      </c>
      <c r="E7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49" t="s">
        <v>3</v>
      </c>
      <c r="G749" s="2">
        <v>32.82</v>
      </c>
    </row>
    <row r="750" spans="1:7" x14ac:dyDescent="0.25">
      <c r="A7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240621-MOR001</v>
      </c>
      <c r="B750" s="1" t="str">
        <f>TEXT(Coffee_sales_clean[[#This Row],[Transaction Date]],"dddd")</f>
        <v>Friday</v>
      </c>
      <c r="C750" s="12">
        <v>45464</v>
      </c>
      <c r="D750" s="4">
        <v>0.4166195601851852</v>
      </c>
      <c r="E7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50" t="s">
        <v>0</v>
      </c>
      <c r="G750" s="2">
        <v>37.72</v>
      </c>
    </row>
    <row r="751" spans="1:7" x14ac:dyDescent="0.25">
      <c r="A7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240621-MOR002</v>
      </c>
      <c r="B751" s="1" t="str">
        <f>TEXT(Coffee_sales_clean[[#This Row],[Transaction Date]],"dddd")</f>
        <v>Friday</v>
      </c>
      <c r="C751" s="12">
        <v>45464</v>
      </c>
      <c r="D751" s="4">
        <v>0.41782619212962963</v>
      </c>
      <c r="E7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51" t="s">
        <v>2</v>
      </c>
      <c r="G751" s="2">
        <v>27.92</v>
      </c>
    </row>
    <row r="752" spans="1:7" x14ac:dyDescent="0.25">
      <c r="A7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240621-LUN001</v>
      </c>
      <c r="B752" s="1" t="str">
        <f>TEXT(Coffee_sales_clean[[#This Row],[Transaction Date]],"dddd")</f>
        <v>Friday</v>
      </c>
      <c r="C752" s="12">
        <v>45464</v>
      </c>
      <c r="D752" s="4">
        <v>0.55508583333333328</v>
      </c>
      <c r="E7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52" t="s">
        <v>3</v>
      </c>
      <c r="G752" s="2">
        <v>32.82</v>
      </c>
    </row>
    <row r="753" spans="1:7" x14ac:dyDescent="0.25">
      <c r="A7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240621-LUN002</v>
      </c>
      <c r="B753" s="1" t="str">
        <f>TEXT(Coffee_sales_clean[[#This Row],[Transaction Date]],"dddd")</f>
        <v>Friday</v>
      </c>
      <c r="C753" s="12">
        <v>45464</v>
      </c>
      <c r="D753" s="4">
        <v>0.55592028935185189</v>
      </c>
      <c r="E7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53" t="s">
        <v>3</v>
      </c>
      <c r="G753" s="2">
        <v>32.82</v>
      </c>
    </row>
    <row r="754" spans="1:7" x14ac:dyDescent="0.25">
      <c r="A7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240621-EVE001</v>
      </c>
      <c r="B754" s="1" t="str">
        <f>TEXT(Coffee_sales_clean[[#This Row],[Transaction Date]],"dddd")</f>
        <v>Friday</v>
      </c>
      <c r="C754" s="12">
        <v>45464</v>
      </c>
      <c r="D754" s="4">
        <v>0.75851925925925923</v>
      </c>
      <c r="E7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54" t="s">
        <v>6</v>
      </c>
      <c r="G754" s="2">
        <v>23.02</v>
      </c>
    </row>
    <row r="755" spans="1:7" x14ac:dyDescent="0.25">
      <c r="A7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240621-EVE002</v>
      </c>
      <c r="B755" s="1" t="str">
        <f>TEXT(Coffee_sales_clean[[#This Row],[Transaction Date]],"dddd")</f>
        <v>Friday</v>
      </c>
      <c r="C755" s="12">
        <v>45464</v>
      </c>
      <c r="D755" s="4">
        <v>0.81280846064814816</v>
      </c>
      <c r="E7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55" t="s">
        <v>0</v>
      </c>
      <c r="G755" s="2">
        <v>37.72</v>
      </c>
    </row>
    <row r="756" spans="1:7" x14ac:dyDescent="0.25">
      <c r="A7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240621-EVE003</v>
      </c>
      <c r="B756" s="1" t="str">
        <f>TEXT(Coffee_sales_clean[[#This Row],[Transaction Date]],"dddd")</f>
        <v>Friday</v>
      </c>
      <c r="C756" s="12">
        <v>45464</v>
      </c>
      <c r="D756" s="4">
        <v>0.82437732638888894</v>
      </c>
      <c r="E7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56" t="s">
        <v>7</v>
      </c>
      <c r="G756" s="2">
        <v>37.72</v>
      </c>
    </row>
    <row r="757" spans="1:7" x14ac:dyDescent="0.25">
      <c r="A7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240621-EVE004</v>
      </c>
      <c r="B757" s="1" t="str">
        <f>TEXT(Coffee_sales_clean[[#This Row],[Transaction Date]],"dddd")</f>
        <v>Friday</v>
      </c>
      <c r="C757" s="12">
        <v>45464</v>
      </c>
      <c r="D757" s="4">
        <v>0.82507769675925924</v>
      </c>
      <c r="E7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57" t="s">
        <v>7</v>
      </c>
      <c r="G757" s="2">
        <v>37.72</v>
      </c>
    </row>
    <row r="758" spans="1:7" x14ac:dyDescent="0.25">
      <c r="A7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240621-EVE005</v>
      </c>
      <c r="B758" s="1" t="str">
        <f>TEXT(Coffee_sales_clean[[#This Row],[Transaction Date]],"dddd")</f>
        <v>Friday</v>
      </c>
      <c r="C758" s="12">
        <v>45464</v>
      </c>
      <c r="D758" s="4">
        <v>0.8263252893518519</v>
      </c>
      <c r="E7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58" t="s">
        <v>7</v>
      </c>
      <c r="G758" s="2">
        <v>37.72</v>
      </c>
    </row>
    <row r="759" spans="1:7" x14ac:dyDescent="0.25">
      <c r="A7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240621-EVE006</v>
      </c>
      <c r="B759" s="1" t="str">
        <f>TEXT(Coffee_sales_clean[[#This Row],[Transaction Date]],"dddd")</f>
        <v>Friday</v>
      </c>
      <c r="C759" s="12">
        <v>45464</v>
      </c>
      <c r="D759" s="4">
        <v>0.82708577546296291</v>
      </c>
      <c r="E7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59" t="s">
        <v>7</v>
      </c>
      <c r="G759" s="2">
        <v>37.72</v>
      </c>
    </row>
    <row r="760" spans="1:7" x14ac:dyDescent="0.25">
      <c r="A7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240621-EVE007</v>
      </c>
      <c r="B760" s="1" t="str">
        <f>TEXT(Coffee_sales_clean[[#This Row],[Transaction Date]],"dddd")</f>
        <v>Friday</v>
      </c>
      <c r="C760" s="12">
        <v>45464</v>
      </c>
      <c r="D760" s="4">
        <v>0.82799508101851849</v>
      </c>
      <c r="E7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60" t="s">
        <v>2</v>
      </c>
      <c r="G760" s="2">
        <v>27.92</v>
      </c>
    </row>
    <row r="761" spans="1:7" x14ac:dyDescent="0.25">
      <c r="A7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240621-EVE008</v>
      </c>
      <c r="B761" s="1" t="str">
        <f>TEXT(Coffee_sales_clean[[#This Row],[Transaction Date]],"dddd")</f>
        <v>Friday</v>
      </c>
      <c r="C761" s="12">
        <v>45464</v>
      </c>
      <c r="D761" s="4">
        <v>0.83029099537037032</v>
      </c>
      <c r="E7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61" t="s">
        <v>3</v>
      </c>
      <c r="G761" s="2">
        <v>32.82</v>
      </c>
    </row>
    <row r="762" spans="1:7" x14ac:dyDescent="0.25">
      <c r="A7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240622-MOR001</v>
      </c>
      <c r="B762" s="1" t="str">
        <f>TEXT(Coffee_sales_clean[[#This Row],[Transaction Date]],"dddd")</f>
        <v>Saturday</v>
      </c>
      <c r="C762" s="12">
        <v>45465</v>
      </c>
      <c r="D762" s="4">
        <v>0.36099853009259258</v>
      </c>
      <c r="E7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62" t="s">
        <v>5</v>
      </c>
      <c r="G762" s="2">
        <v>27.92</v>
      </c>
    </row>
    <row r="763" spans="1:7" x14ac:dyDescent="0.25">
      <c r="A7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240622-MOR002</v>
      </c>
      <c r="B763" s="1" t="str">
        <f>TEXT(Coffee_sales_clean[[#This Row],[Transaction Date]],"dddd")</f>
        <v>Saturday</v>
      </c>
      <c r="C763" s="12">
        <v>45465</v>
      </c>
      <c r="D763" s="4">
        <v>0.40125901620370369</v>
      </c>
      <c r="E7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63" t="s">
        <v>3</v>
      </c>
      <c r="G763" s="2">
        <v>32.82</v>
      </c>
    </row>
    <row r="764" spans="1:7" x14ac:dyDescent="0.25">
      <c r="A7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240622-LUN001</v>
      </c>
      <c r="B764" s="1" t="str">
        <f>TEXT(Coffee_sales_clean[[#This Row],[Transaction Date]],"dddd")</f>
        <v>Saturday</v>
      </c>
      <c r="C764" s="12">
        <v>45465</v>
      </c>
      <c r="D764" s="4">
        <v>0.53698542824074069</v>
      </c>
      <c r="E7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64" t="s">
        <v>3</v>
      </c>
      <c r="G764" s="2">
        <v>32.82</v>
      </c>
    </row>
    <row r="765" spans="1:7" x14ac:dyDescent="0.25">
      <c r="A7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240622-AFT001</v>
      </c>
      <c r="B765" s="1" t="str">
        <f>TEXT(Coffee_sales_clean[[#This Row],[Transaction Date]],"dddd")</f>
        <v>Saturday</v>
      </c>
      <c r="C765" s="12">
        <v>45465</v>
      </c>
      <c r="D765" s="4">
        <v>0.65092751157407402</v>
      </c>
      <c r="E7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65" t="s">
        <v>0</v>
      </c>
      <c r="G765" s="2">
        <v>37.72</v>
      </c>
    </row>
    <row r="766" spans="1:7" x14ac:dyDescent="0.25">
      <c r="A7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240622-LAT001</v>
      </c>
      <c r="B766" s="1" t="str">
        <f>TEXT(Coffee_sales_clean[[#This Row],[Transaction Date]],"dddd")</f>
        <v>Saturday</v>
      </c>
      <c r="C766" s="12">
        <v>45465</v>
      </c>
      <c r="D766" s="4">
        <v>0.92387729166666666</v>
      </c>
      <c r="E7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66" t="s">
        <v>7</v>
      </c>
      <c r="G766" s="2">
        <v>37.72</v>
      </c>
    </row>
    <row r="767" spans="1:7" x14ac:dyDescent="0.25">
      <c r="A7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240623-EVE001</v>
      </c>
      <c r="B767" s="1" t="str">
        <f>TEXT(Coffee_sales_clean[[#This Row],[Transaction Date]],"dddd")</f>
        <v>Sunday</v>
      </c>
      <c r="C767" s="12">
        <v>45466</v>
      </c>
      <c r="D767" s="4">
        <v>0.75834960648148153</v>
      </c>
      <c r="E7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67" t="s">
        <v>3</v>
      </c>
      <c r="G767" s="2">
        <v>32.82</v>
      </c>
    </row>
    <row r="768" spans="1:7" x14ac:dyDescent="0.25">
      <c r="A7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240623-EVE002</v>
      </c>
      <c r="B768" s="1" t="str">
        <f>TEXT(Coffee_sales_clean[[#This Row],[Transaction Date]],"dddd")</f>
        <v>Sunday</v>
      </c>
      <c r="C768" s="12">
        <v>45466</v>
      </c>
      <c r="D768" s="4">
        <v>0.75961386574074075</v>
      </c>
      <c r="E7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68" t="s">
        <v>3</v>
      </c>
      <c r="G768" s="2">
        <v>32.82</v>
      </c>
    </row>
    <row r="769" spans="1:7" x14ac:dyDescent="0.25">
      <c r="A7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240623-LAT001</v>
      </c>
      <c r="B769" s="1" t="str">
        <f>TEXT(Coffee_sales_clean[[#This Row],[Transaction Date]],"dddd")</f>
        <v>Sunday</v>
      </c>
      <c r="C769" s="12">
        <v>45466</v>
      </c>
      <c r="D769" s="4">
        <v>0.87971013888888894</v>
      </c>
      <c r="E7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69" t="s">
        <v>7</v>
      </c>
      <c r="G769" s="2">
        <v>37.72</v>
      </c>
    </row>
    <row r="770" spans="1:7" x14ac:dyDescent="0.25">
      <c r="A7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240623-LAT002</v>
      </c>
      <c r="B770" s="1" t="str">
        <f>TEXT(Coffee_sales_clean[[#This Row],[Transaction Date]],"dddd")</f>
        <v>Sunday</v>
      </c>
      <c r="C770" s="12">
        <v>45466</v>
      </c>
      <c r="D770" s="4">
        <v>0.89522943287037038</v>
      </c>
      <c r="E7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70" t="s">
        <v>0</v>
      </c>
      <c r="G770" s="2">
        <v>37.72</v>
      </c>
    </row>
    <row r="771" spans="1:7" x14ac:dyDescent="0.25">
      <c r="A7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240623-LAT003</v>
      </c>
      <c r="B771" s="1" t="str">
        <f>TEXT(Coffee_sales_clean[[#This Row],[Transaction Date]],"dddd")</f>
        <v>Sunday</v>
      </c>
      <c r="C771" s="12">
        <v>45466</v>
      </c>
      <c r="D771" s="4">
        <v>0.89625434027777773</v>
      </c>
      <c r="E7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71" t="s">
        <v>7</v>
      </c>
      <c r="G771" s="2">
        <v>37.72</v>
      </c>
    </row>
    <row r="772" spans="1:7" x14ac:dyDescent="0.25">
      <c r="A7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240624-LUN001</v>
      </c>
      <c r="B772" s="1" t="str">
        <f>TEXT(Coffee_sales_clean[[#This Row],[Transaction Date]],"dddd")</f>
        <v>Monday</v>
      </c>
      <c r="C772" s="12">
        <v>45467</v>
      </c>
      <c r="D772" s="4">
        <v>0.48935114583333333</v>
      </c>
      <c r="E7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72" t="s">
        <v>3</v>
      </c>
      <c r="G772" s="2">
        <v>32.82</v>
      </c>
    </row>
    <row r="773" spans="1:7" x14ac:dyDescent="0.25">
      <c r="A7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240624-LUN002</v>
      </c>
      <c r="B773" s="1" t="str">
        <f>TEXT(Coffee_sales_clean[[#This Row],[Transaction Date]],"dddd")</f>
        <v>Monday</v>
      </c>
      <c r="C773" s="12">
        <v>45467</v>
      </c>
      <c r="D773" s="4">
        <v>0.49277828703703702</v>
      </c>
      <c r="E7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73" t="s">
        <v>7</v>
      </c>
      <c r="G773" s="2">
        <v>37.72</v>
      </c>
    </row>
    <row r="774" spans="1:7" x14ac:dyDescent="0.25">
      <c r="A7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240624-LUN003</v>
      </c>
      <c r="B774" s="1" t="str">
        <f>TEXT(Coffee_sales_clean[[#This Row],[Transaction Date]],"dddd")</f>
        <v>Monday</v>
      </c>
      <c r="C774" s="12">
        <v>45467</v>
      </c>
      <c r="D774" s="4">
        <v>0.49356574074074072</v>
      </c>
      <c r="E7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74" t="s">
        <v>7</v>
      </c>
      <c r="G774" s="2">
        <v>37.72</v>
      </c>
    </row>
    <row r="775" spans="1:7" x14ac:dyDescent="0.25">
      <c r="A7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240624-AFT001</v>
      </c>
      <c r="B775" s="1" t="str">
        <f>TEXT(Coffee_sales_clean[[#This Row],[Transaction Date]],"dddd")</f>
        <v>Monday</v>
      </c>
      <c r="C775" s="12">
        <v>45467</v>
      </c>
      <c r="D775" s="4">
        <v>0.62672447916666663</v>
      </c>
      <c r="E7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75" t="s">
        <v>0</v>
      </c>
      <c r="G775" s="2">
        <v>37.72</v>
      </c>
    </row>
    <row r="776" spans="1:7" x14ac:dyDescent="0.25">
      <c r="A7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240624-AFT002</v>
      </c>
      <c r="B776" s="1" t="str">
        <f>TEXT(Coffee_sales_clean[[#This Row],[Transaction Date]],"dddd")</f>
        <v>Monday</v>
      </c>
      <c r="C776" s="12">
        <v>45467</v>
      </c>
      <c r="D776" s="4">
        <v>0.69861774305555557</v>
      </c>
      <c r="E7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76" t="s">
        <v>7</v>
      </c>
      <c r="G776" s="2">
        <v>37.72</v>
      </c>
    </row>
    <row r="777" spans="1:7" x14ac:dyDescent="0.25">
      <c r="A7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240624-AFT003</v>
      </c>
      <c r="B777" s="1" t="str">
        <f>TEXT(Coffee_sales_clean[[#This Row],[Transaction Date]],"dddd")</f>
        <v>Monday</v>
      </c>
      <c r="C777" s="12">
        <v>45467</v>
      </c>
      <c r="D777" s="4">
        <v>0.6993102893518518</v>
      </c>
      <c r="E7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77" t="s">
        <v>7</v>
      </c>
      <c r="G777" s="2">
        <v>37.72</v>
      </c>
    </row>
    <row r="778" spans="1:7" x14ac:dyDescent="0.25">
      <c r="A7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240625-MOR001</v>
      </c>
      <c r="B778" s="1" t="str">
        <f>TEXT(Coffee_sales_clean[[#This Row],[Transaction Date]],"dddd")</f>
        <v>Tuesday</v>
      </c>
      <c r="C778" s="12">
        <v>45468</v>
      </c>
      <c r="D778" s="4">
        <v>0.34680837962962963</v>
      </c>
      <c r="E7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78" t="s">
        <v>0</v>
      </c>
      <c r="G778" s="2">
        <v>37.72</v>
      </c>
    </row>
    <row r="779" spans="1:7" x14ac:dyDescent="0.25">
      <c r="A7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240625-MOR002</v>
      </c>
      <c r="B779" s="1" t="str">
        <f>TEXT(Coffee_sales_clean[[#This Row],[Transaction Date]],"dddd")</f>
        <v>Tuesday</v>
      </c>
      <c r="C779" s="12">
        <v>45468</v>
      </c>
      <c r="D779" s="4">
        <v>0.43641675925925927</v>
      </c>
      <c r="E7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79" t="s">
        <v>3</v>
      </c>
      <c r="G779" s="2">
        <v>32.82</v>
      </c>
    </row>
    <row r="780" spans="1:7" x14ac:dyDescent="0.25">
      <c r="A7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240625-MOR003</v>
      </c>
      <c r="B780" s="1" t="str">
        <f>TEXT(Coffee_sales_clean[[#This Row],[Transaction Date]],"dddd")</f>
        <v>Tuesday</v>
      </c>
      <c r="C780" s="12">
        <v>45468</v>
      </c>
      <c r="D780" s="4">
        <v>0.43729641203703706</v>
      </c>
      <c r="E7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80" t="s">
        <v>3</v>
      </c>
      <c r="G780" s="2">
        <v>32.82</v>
      </c>
    </row>
    <row r="781" spans="1:7" x14ac:dyDescent="0.25">
      <c r="A7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240625-LUN001</v>
      </c>
      <c r="B781" s="1" t="str">
        <f>TEXT(Coffee_sales_clean[[#This Row],[Transaction Date]],"dddd")</f>
        <v>Tuesday</v>
      </c>
      <c r="C781" s="12">
        <v>45468</v>
      </c>
      <c r="D781" s="4">
        <v>0.4825497222222222</v>
      </c>
      <c r="E7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81" t="s">
        <v>7</v>
      </c>
      <c r="G781" s="2">
        <v>37.72</v>
      </c>
    </row>
    <row r="782" spans="1:7" x14ac:dyDescent="0.25">
      <c r="A7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240626-MOR001</v>
      </c>
      <c r="B782" s="1" t="str">
        <f>TEXT(Coffee_sales_clean[[#This Row],[Transaction Date]],"dddd")</f>
        <v>Wednesday</v>
      </c>
      <c r="C782" s="12">
        <v>45469</v>
      </c>
      <c r="D782" s="4">
        <v>0.39793641203703706</v>
      </c>
      <c r="E7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82" t="s">
        <v>0</v>
      </c>
      <c r="G782" s="2">
        <v>37.72</v>
      </c>
    </row>
    <row r="783" spans="1:7" x14ac:dyDescent="0.25">
      <c r="A7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240626-AFT001</v>
      </c>
      <c r="B783" s="1" t="str">
        <f>TEXT(Coffee_sales_clean[[#This Row],[Transaction Date]],"dddd")</f>
        <v>Wednesday</v>
      </c>
      <c r="C783" s="12">
        <v>45469</v>
      </c>
      <c r="D783" s="4">
        <v>0.68922978009259261</v>
      </c>
      <c r="E7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83" t="s">
        <v>6</v>
      </c>
      <c r="G783" s="2">
        <v>23.02</v>
      </c>
    </row>
    <row r="784" spans="1:7" x14ac:dyDescent="0.25">
      <c r="A7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240626-AFT002</v>
      </c>
      <c r="B784" s="1" t="str">
        <f>TEXT(Coffee_sales_clean[[#This Row],[Transaction Date]],"dddd")</f>
        <v>Wednesday</v>
      </c>
      <c r="C784" s="12">
        <v>45469</v>
      </c>
      <c r="D784" s="4">
        <v>0.69029637731481486</v>
      </c>
      <c r="E7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84" t="s">
        <v>2</v>
      </c>
      <c r="G784" s="2">
        <v>27.92</v>
      </c>
    </row>
    <row r="785" spans="1:7" x14ac:dyDescent="0.25">
      <c r="A7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240626-LAT001</v>
      </c>
      <c r="B785" s="1" t="str">
        <f>TEXT(Coffee_sales_clean[[#This Row],[Transaction Date]],"dddd")</f>
        <v>Wednesday</v>
      </c>
      <c r="C785" s="12">
        <v>45469</v>
      </c>
      <c r="D785" s="4">
        <v>0.89020018518518518</v>
      </c>
      <c r="E7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85" t="s">
        <v>0</v>
      </c>
      <c r="G785" s="2">
        <v>37.72</v>
      </c>
    </row>
    <row r="786" spans="1:7" x14ac:dyDescent="0.25">
      <c r="A7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240626-LAT002</v>
      </c>
      <c r="B786" s="1" t="str">
        <f>TEXT(Coffee_sales_clean[[#This Row],[Transaction Date]],"dddd")</f>
        <v>Wednesday</v>
      </c>
      <c r="C786" s="12">
        <v>45469</v>
      </c>
      <c r="D786" s="4">
        <v>0.89375934027777781</v>
      </c>
      <c r="E7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86" t="s">
        <v>7</v>
      </c>
      <c r="G786" s="2">
        <v>37.72</v>
      </c>
    </row>
    <row r="787" spans="1:7" x14ac:dyDescent="0.25">
      <c r="A7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240626-LAT003</v>
      </c>
      <c r="B787" s="1" t="str">
        <f>TEXT(Coffee_sales_clean[[#This Row],[Transaction Date]],"dddd")</f>
        <v>Wednesday</v>
      </c>
      <c r="C787" s="12">
        <v>45469</v>
      </c>
      <c r="D787" s="4">
        <v>0.89461303240740742</v>
      </c>
      <c r="E7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87" t="s">
        <v>3</v>
      </c>
      <c r="G787" s="2">
        <v>32.82</v>
      </c>
    </row>
    <row r="788" spans="1:7" x14ac:dyDescent="0.25">
      <c r="A7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240627-MOR001</v>
      </c>
      <c r="B788" s="1" t="str">
        <f>TEXT(Coffee_sales_clean[[#This Row],[Transaction Date]],"dddd")</f>
        <v>Thursday</v>
      </c>
      <c r="C788" s="12">
        <v>45470</v>
      </c>
      <c r="D788" s="4">
        <v>0.38591635416666664</v>
      </c>
      <c r="E7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88" t="s">
        <v>3</v>
      </c>
      <c r="G788" s="2">
        <v>32.82</v>
      </c>
    </row>
    <row r="789" spans="1:7" x14ac:dyDescent="0.25">
      <c r="A7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240627-AFT001</v>
      </c>
      <c r="B789" s="1" t="str">
        <f>TEXT(Coffee_sales_clean[[#This Row],[Transaction Date]],"dddd")</f>
        <v>Thursday</v>
      </c>
      <c r="C789" s="12">
        <v>45470</v>
      </c>
      <c r="D789" s="4">
        <v>0.67486111111111113</v>
      </c>
      <c r="E7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789" t="s">
        <v>5</v>
      </c>
      <c r="G789" s="2">
        <v>27.92</v>
      </c>
    </row>
    <row r="790" spans="1:7" x14ac:dyDescent="0.25">
      <c r="A7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240627-LAT001</v>
      </c>
      <c r="B790" s="1" t="str">
        <f>TEXT(Coffee_sales_clean[[#This Row],[Transaction Date]],"dddd")</f>
        <v>Thursday</v>
      </c>
      <c r="C790" s="12">
        <v>45470</v>
      </c>
      <c r="D790" s="4">
        <v>0.90559458333333331</v>
      </c>
      <c r="E7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90" t="s">
        <v>3</v>
      </c>
      <c r="G790" s="2">
        <v>32.82</v>
      </c>
    </row>
    <row r="791" spans="1:7" x14ac:dyDescent="0.25">
      <c r="A7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240627-LAT002</v>
      </c>
      <c r="B791" s="1" t="str">
        <f>TEXT(Coffee_sales_clean[[#This Row],[Transaction Date]],"dddd")</f>
        <v>Thursday</v>
      </c>
      <c r="C791" s="12">
        <v>45470</v>
      </c>
      <c r="D791" s="4">
        <v>0.91008815972222223</v>
      </c>
      <c r="E7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91" t="s">
        <v>7</v>
      </c>
      <c r="G791" s="2">
        <v>37.72</v>
      </c>
    </row>
    <row r="792" spans="1:7" x14ac:dyDescent="0.25">
      <c r="A7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240628-MOR001</v>
      </c>
      <c r="B792" s="1" t="str">
        <f>TEXT(Coffee_sales_clean[[#This Row],[Transaction Date]],"dddd")</f>
        <v>Friday</v>
      </c>
      <c r="C792" s="12">
        <v>45471</v>
      </c>
      <c r="D792" s="4">
        <v>0.33929449074074075</v>
      </c>
      <c r="E7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92" t="s">
        <v>5</v>
      </c>
      <c r="G792" s="2">
        <v>27.92</v>
      </c>
    </row>
    <row r="793" spans="1:7" x14ac:dyDescent="0.25">
      <c r="A7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240628-EVE001</v>
      </c>
      <c r="B793" s="1" t="str">
        <f>TEXT(Coffee_sales_clean[[#This Row],[Transaction Date]],"dddd")</f>
        <v>Friday</v>
      </c>
      <c r="C793" s="12">
        <v>45471</v>
      </c>
      <c r="D793" s="4">
        <v>0.74437491898148145</v>
      </c>
      <c r="E7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793" t="s">
        <v>6</v>
      </c>
      <c r="G793" s="2">
        <v>23.02</v>
      </c>
    </row>
    <row r="794" spans="1:7" x14ac:dyDescent="0.25">
      <c r="A7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240628-LAT001</v>
      </c>
      <c r="B794" s="1" t="str">
        <f>TEXT(Coffee_sales_clean[[#This Row],[Transaction Date]],"dddd")</f>
        <v>Friday</v>
      </c>
      <c r="C794" s="12">
        <v>45471</v>
      </c>
      <c r="D794" s="4">
        <v>0.91036313657407408</v>
      </c>
      <c r="E7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94" t="s">
        <v>3</v>
      </c>
      <c r="G794" s="2">
        <v>32.82</v>
      </c>
    </row>
    <row r="795" spans="1:7" x14ac:dyDescent="0.25">
      <c r="A7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240628-LAT002</v>
      </c>
      <c r="B795" s="1" t="str">
        <f>TEXT(Coffee_sales_clean[[#This Row],[Transaction Date]],"dddd")</f>
        <v>Friday</v>
      </c>
      <c r="C795" s="12">
        <v>45471</v>
      </c>
      <c r="D795" s="4">
        <v>0.91113271990740741</v>
      </c>
      <c r="E7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95" t="s">
        <v>0</v>
      </c>
      <c r="G795" s="2">
        <v>37.72</v>
      </c>
    </row>
    <row r="796" spans="1:7" x14ac:dyDescent="0.25">
      <c r="A7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240628-LAT003</v>
      </c>
      <c r="B796" s="1" t="str">
        <f>TEXT(Coffee_sales_clean[[#This Row],[Transaction Date]],"dddd")</f>
        <v>Friday</v>
      </c>
      <c r="C796" s="12">
        <v>45471</v>
      </c>
      <c r="D796" s="4">
        <v>0.93634231481481478</v>
      </c>
      <c r="E7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796" t="s">
        <v>7</v>
      </c>
      <c r="G796" s="2">
        <v>37.72</v>
      </c>
    </row>
    <row r="797" spans="1:7" x14ac:dyDescent="0.25">
      <c r="A7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240629-MOR001</v>
      </c>
      <c r="B797" s="1" t="str">
        <f>TEXT(Coffee_sales_clean[[#This Row],[Transaction Date]],"dddd")</f>
        <v>Saturday</v>
      </c>
      <c r="C797" s="12">
        <v>45472</v>
      </c>
      <c r="D797" s="4">
        <v>0.40775814814814815</v>
      </c>
      <c r="E7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797" t="s">
        <v>3</v>
      </c>
      <c r="G797" s="2">
        <v>32.82</v>
      </c>
    </row>
    <row r="798" spans="1:7" x14ac:dyDescent="0.25">
      <c r="A7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240629-LUN001</v>
      </c>
      <c r="B798" s="1" t="str">
        <f>TEXT(Coffee_sales_clean[[#This Row],[Transaction Date]],"dddd")</f>
        <v>Saturday</v>
      </c>
      <c r="C798" s="12">
        <v>45472</v>
      </c>
      <c r="D798" s="4">
        <v>0.48633775462962964</v>
      </c>
      <c r="E7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98" t="s">
        <v>3</v>
      </c>
      <c r="G798" s="2">
        <v>32.82</v>
      </c>
    </row>
    <row r="799" spans="1:7" x14ac:dyDescent="0.25">
      <c r="A7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240629-LUN002</v>
      </c>
      <c r="B799" s="1" t="str">
        <f>TEXT(Coffee_sales_clean[[#This Row],[Transaction Date]],"dddd")</f>
        <v>Saturday</v>
      </c>
      <c r="C799" s="12">
        <v>45472</v>
      </c>
      <c r="D799" s="4">
        <v>0.48711353009259262</v>
      </c>
      <c r="E7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799" t="s">
        <v>3</v>
      </c>
      <c r="G799" s="2">
        <v>32.82</v>
      </c>
    </row>
    <row r="800" spans="1:7" x14ac:dyDescent="0.25">
      <c r="A8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240629-LUN003</v>
      </c>
      <c r="B800" s="1" t="str">
        <f>TEXT(Coffee_sales_clean[[#This Row],[Transaction Date]],"dddd")</f>
        <v>Saturday</v>
      </c>
      <c r="C800" s="12">
        <v>45472</v>
      </c>
      <c r="D800" s="4">
        <v>0.5211152546296296</v>
      </c>
      <c r="E8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00" t="s">
        <v>7</v>
      </c>
      <c r="G800" s="2">
        <v>37.72</v>
      </c>
    </row>
    <row r="801" spans="1:7" x14ac:dyDescent="0.25">
      <c r="A8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240629-LUN004</v>
      </c>
      <c r="B801" s="1" t="str">
        <f>TEXT(Coffee_sales_clean[[#This Row],[Transaction Date]],"dddd")</f>
        <v>Saturday</v>
      </c>
      <c r="C801" s="12">
        <v>45472</v>
      </c>
      <c r="D801" s="4">
        <v>0.52202062500000002</v>
      </c>
      <c r="E8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01" t="s">
        <v>7</v>
      </c>
      <c r="G801" s="2">
        <v>37.72</v>
      </c>
    </row>
    <row r="802" spans="1:7" x14ac:dyDescent="0.25">
      <c r="A8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240629-EVE001</v>
      </c>
      <c r="B802" s="1" t="str">
        <f>TEXT(Coffee_sales_clean[[#This Row],[Transaction Date]],"dddd")</f>
        <v>Saturday</v>
      </c>
      <c r="C802" s="12">
        <v>45472</v>
      </c>
      <c r="D802" s="4">
        <v>0.72480998842592592</v>
      </c>
      <c r="E8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02" t="s">
        <v>7</v>
      </c>
      <c r="G802" s="2">
        <v>37.72</v>
      </c>
    </row>
    <row r="803" spans="1:7" x14ac:dyDescent="0.25">
      <c r="A8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240629-EVE002</v>
      </c>
      <c r="B803" s="1" t="str">
        <f>TEXT(Coffee_sales_clean[[#This Row],[Transaction Date]],"dddd")</f>
        <v>Saturday</v>
      </c>
      <c r="C803" s="12">
        <v>45472</v>
      </c>
      <c r="D803" s="4">
        <v>0.7256062152777778</v>
      </c>
      <c r="E8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03" t="s">
        <v>1</v>
      </c>
      <c r="G803" s="2">
        <v>37.72</v>
      </c>
    </row>
    <row r="804" spans="1:7" x14ac:dyDescent="0.25">
      <c r="A8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240629-LAT001</v>
      </c>
      <c r="B804" s="1" t="str">
        <f>TEXT(Coffee_sales_clean[[#This Row],[Transaction Date]],"dddd")</f>
        <v>Saturday</v>
      </c>
      <c r="C804" s="12">
        <v>45472</v>
      </c>
      <c r="D804" s="4">
        <v>0.89400982638888893</v>
      </c>
      <c r="E8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04" t="s">
        <v>0</v>
      </c>
      <c r="G804" s="2">
        <v>37.72</v>
      </c>
    </row>
    <row r="805" spans="1:7" x14ac:dyDescent="0.25">
      <c r="A8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240630-MOR001</v>
      </c>
      <c r="B805" s="1" t="str">
        <f>TEXT(Coffee_sales_clean[[#This Row],[Transaction Date]],"dddd")</f>
        <v>Sunday</v>
      </c>
      <c r="C805" s="12">
        <v>45473</v>
      </c>
      <c r="D805" s="4">
        <v>0.43622502314814815</v>
      </c>
      <c r="E8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05" t="s">
        <v>0</v>
      </c>
      <c r="G805" s="2">
        <v>37.72</v>
      </c>
    </row>
    <row r="806" spans="1:7" x14ac:dyDescent="0.25">
      <c r="A8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240630-LUN001</v>
      </c>
      <c r="B806" s="1" t="str">
        <f>TEXT(Coffee_sales_clean[[#This Row],[Transaction Date]],"dddd")</f>
        <v>Sunday</v>
      </c>
      <c r="C806" s="12">
        <v>45473</v>
      </c>
      <c r="D806" s="4">
        <v>0.54572476851851848</v>
      </c>
      <c r="E8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06" t="s">
        <v>6</v>
      </c>
      <c r="G806" s="2">
        <v>23.02</v>
      </c>
    </row>
    <row r="807" spans="1:7" x14ac:dyDescent="0.25">
      <c r="A8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240630-AFT001</v>
      </c>
      <c r="B807" s="1" t="str">
        <f>TEXT(Coffee_sales_clean[[#This Row],[Transaction Date]],"dddd")</f>
        <v>Sunday</v>
      </c>
      <c r="C807" s="12">
        <v>45473</v>
      </c>
      <c r="D807" s="4">
        <v>0.70464906250000003</v>
      </c>
      <c r="E8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07" t="s">
        <v>1</v>
      </c>
      <c r="G807" s="2">
        <v>37.72</v>
      </c>
    </row>
    <row r="808" spans="1:7" x14ac:dyDescent="0.25">
      <c r="A8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240630-LAT001</v>
      </c>
      <c r="B808" s="1" t="str">
        <f>TEXT(Coffee_sales_clean[[#This Row],[Transaction Date]],"dddd")</f>
        <v>Sunday</v>
      </c>
      <c r="C808" s="12">
        <v>45473</v>
      </c>
      <c r="D808" s="4">
        <v>0.87789057870370368</v>
      </c>
      <c r="E8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08" t="s">
        <v>3</v>
      </c>
      <c r="G808" s="2">
        <v>32.82</v>
      </c>
    </row>
    <row r="809" spans="1:7" x14ac:dyDescent="0.25">
      <c r="A8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240701-EVE001</v>
      </c>
      <c r="B809" s="1" t="str">
        <f>TEXT(Coffee_sales_clean[[#This Row],[Transaction Date]],"dddd")</f>
        <v>Monday</v>
      </c>
      <c r="C809" s="12">
        <v>45474</v>
      </c>
      <c r="D809" s="4">
        <v>0.75517083333333335</v>
      </c>
      <c r="E8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09" t="s">
        <v>6</v>
      </c>
      <c r="G809" s="2">
        <v>23.02</v>
      </c>
    </row>
    <row r="810" spans="1:7" x14ac:dyDescent="0.25">
      <c r="A8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240701-EVE002</v>
      </c>
      <c r="B810" s="1" t="str">
        <f>TEXT(Coffee_sales_clean[[#This Row],[Transaction Date]],"dddd")</f>
        <v>Monday</v>
      </c>
      <c r="C810" s="12">
        <v>45474</v>
      </c>
      <c r="D810" s="4">
        <v>0.78948893518518515</v>
      </c>
      <c r="E8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10" t="s">
        <v>7</v>
      </c>
      <c r="G810" s="2">
        <v>37.72</v>
      </c>
    </row>
    <row r="811" spans="1:7" x14ac:dyDescent="0.25">
      <c r="A8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240701-EVE003</v>
      </c>
      <c r="B811" s="1" t="str">
        <f>TEXT(Coffee_sales_clean[[#This Row],[Transaction Date]],"dddd")</f>
        <v>Monday</v>
      </c>
      <c r="C811" s="12">
        <v>45474</v>
      </c>
      <c r="D811" s="4">
        <v>0.79021142361111107</v>
      </c>
      <c r="E8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11" t="s">
        <v>7</v>
      </c>
      <c r="G811" s="2">
        <v>37.72</v>
      </c>
    </row>
    <row r="812" spans="1:7" x14ac:dyDescent="0.25">
      <c r="A8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240702-MOR001</v>
      </c>
      <c r="B812" s="1" t="str">
        <f>TEXT(Coffee_sales_clean[[#This Row],[Transaction Date]],"dddd")</f>
        <v>Tuesday</v>
      </c>
      <c r="C812" s="12">
        <v>45475</v>
      </c>
      <c r="D812" s="4">
        <v>0.44645899305555553</v>
      </c>
      <c r="E8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12" t="s">
        <v>3</v>
      </c>
      <c r="G812" s="2">
        <v>32.82</v>
      </c>
    </row>
    <row r="813" spans="1:7" x14ac:dyDescent="0.25">
      <c r="A8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240702-MOR002</v>
      </c>
      <c r="B813" s="1" t="str">
        <f>TEXT(Coffee_sales_clean[[#This Row],[Transaction Date]],"dddd")</f>
        <v>Tuesday</v>
      </c>
      <c r="C813" s="12">
        <v>45475</v>
      </c>
      <c r="D813" s="4">
        <v>0.44792380787037039</v>
      </c>
      <c r="E8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13" t="s">
        <v>2</v>
      </c>
      <c r="G813" s="2">
        <v>27.92</v>
      </c>
    </row>
    <row r="814" spans="1:7" x14ac:dyDescent="0.25">
      <c r="A8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240702-LUN001</v>
      </c>
      <c r="B814" s="1" t="str">
        <f>TEXT(Coffee_sales_clean[[#This Row],[Transaction Date]],"dddd")</f>
        <v>Tuesday</v>
      </c>
      <c r="C814" s="12">
        <v>45475</v>
      </c>
      <c r="D814" s="4">
        <v>0.53339329861111107</v>
      </c>
      <c r="E8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14" t="s">
        <v>0</v>
      </c>
      <c r="G814" s="2">
        <v>37.72</v>
      </c>
    </row>
    <row r="815" spans="1:7" x14ac:dyDescent="0.25">
      <c r="A8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240702-AFT001</v>
      </c>
      <c r="B815" s="1" t="str">
        <f>TEXT(Coffee_sales_clean[[#This Row],[Transaction Date]],"dddd")</f>
        <v>Tuesday</v>
      </c>
      <c r="C815" s="12">
        <v>45475</v>
      </c>
      <c r="D815" s="4">
        <v>0.5855698032407407</v>
      </c>
      <c r="E8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15" t="s">
        <v>2</v>
      </c>
      <c r="G815" s="2">
        <v>27.92</v>
      </c>
    </row>
    <row r="816" spans="1:7" x14ac:dyDescent="0.25">
      <c r="A8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240702-AFT002</v>
      </c>
      <c r="B816" s="1" t="str">
        <f>TEXT(Coffee_sales_clean[[#This Row],[Transaction Date]],"dddd")</f>
        <v>Tuesday</v>
      </c>
      <c r="C816" s="12">
        <v>45475</v>
      </c>
      <c r="D816" s="4">
        <v>0.68847612268518521</v>
      </c>
      <c r="E8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16" t="s">
        <v>3</v>
      </c>
      <c r="G816" s="2">
        <v>32.82</v>
      </c>
    </row>
    <row r="817" spans="1:7" x14ac:dyDescent="0.25">
      <c r="A8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240702-LAT001</v>
      </c>
      <c r="B817" s="1" t="str">
        <f>TEXT(Coffee_sales_clean[[#This Row],[Transaction Date]],"dddd")</f>
        <v>Tuesday</v>
      </c>
      <c r="C817" s="12">
        <v>45475</v>
      </c>
      <c r="D817" s="4">
        <v>0.9183284259259259</v>
      </c>
      <c r="E8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17" t="s">
        <v>3</v>
      </c>
      <c r="G817" s="2">
        <v>32.82</v>
      </c>
    </row>
    <row r="818" spans="1:7" x14ac:dyDescent="0.25">
      <c r="A8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240703-LUN001</v>
      </c>
      <c r="B818" s="1" t="str">
        <f>TEXT(Coffee_sales_clean[[#This Row],[Transaction Date]],"dddd")</f>
        <v>Wednesday</v>
      </c>
      <c r="C818" s="12">
        <v>45476</v>
      </c>
      <c r="D818" s="4">
        <v>0.57725619212962964</v>
      </c>
      <c r="E8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18" t="s">
        <v>3</v>
      </c>
      <c r="G818" s="2">
        <v>32.82</v>
      </c>
    </row>
    <row r="819" spans="1:7" x14ac:dyDescent="0.25">
      <c r="A8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240703-AFT001</v>
      </c>
      <c r="B819" s="1" t="str">
        <f>TEXT(Coffee_sales_clean[[#This Row],[Transaction Date]],"dddd")</f>
        <v>Wednesday</v>
      </c>
      <c r="C819" s="12">
        <v>45476</v>
      </c>
      <c r="D819" s="4">
        <v>0.66755270833333336</v>
      </c>
      <c r="E8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19" t="s">
        <v>7</v>
      </c>
      <c r="G819" s="2">
        <v>37.72</v>
      </c>
    </row>
    <row r="820" spans="1:7" x14ac:dyDescent="0.25">
      <c r="A8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240703-AFT002</v>
      </c>
      <c r="B820" s="1" t="str">
        <f>TEXT(Coffee_sales_clean[[#This Row],[Transaction Date]],"dddd")</f>
        <v>Wednesday</v>
      </c>
      <c r="C820" s="12">
        <v>45476</v>
      </c>
      <c r="D820" s="4">
        <v>0.70168082175925928</v>
      </c>
      <c r="E8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20" t="s">
        <v>7</v>
      </c>
      <c r="G820" s="2">
        <v>37.72</v>
      </c>
    </row>
    <row r="821" spans="1:7" x14ac:dyDescent="0.25">
      <c r="A8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240703-AFT003</v>
      </c>
      <c r="B821" s="1" t="str">
        <f>TEXT(Coffee_sales_clean[[#This Row],[Transaction Date]],"dddd")</f>
        <v>Wednesday</v>
      </c>
      <c r="C821" s="12">
        <v>45476</v>
      </c>
      <c r="D821" s="4">
        <v>0.70365298611111116</v>
      </c>
      <c r="E8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21" t="s">
        <v>3</v>
      </c>
      <c r="G821" s="2">
        <v>32.82</v>
      </c>
    </row>
    <row r="822" spans="1:7" x14ac:dyDescent="0.25">
      <c r="A8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240703-AFT004</v>
      </c>
      <c r="B822" s="1" t="str">
        <f>TEXT(Coffee_sales_clean[[#This Row],[Transaction Date]],"dddd")</f>
        <v>Wednesday</v>
      </c>
      <c r="C822" s="12">
        <v>45476</v>
      </c>
      <c r="D822" s="4">
        <v>0.70443179398148148</v>
      </c>
      <c r="E8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22" t="s">
        <v>3</v>
      </c>
      <c r="G822" s="2">
        <v>32.82</v>
      </c>
    </row>
    <row r="823" spans="1:7" x14ac:dyDescent="0.25">
      <c r="A8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240703-AFT005</v>
      </c>
      <c r="B823" s="1" t="str">
        <f>TEXT(Coffee_sales_clean[[#This Row],[Transaction Date]],"dddd")</f>
        <v>Wednesday</v>
      </c>
      <c r="C823" s="12">
        <v>45476</v>
      </c>
      <c r="D823" s="4">
        <v>0.70522480324074077</v>
      </c>
      <c r="E8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23" t="s">
        <v>0</v>
      </c>
      <c r="G823" s="2">
        <v>37.72</v>
      </c>
    </row>
    <row r="824" spans="1:7" x14ac:dyDescent="0.25">
      <c r="A8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240703-AFT006</v>
      </c>
      <c r="B824" s="1" t="str">
        <f>TEXT(Coffee_sales_clean[[#This Row],[Transaction Date]],"dddd")</f>
        <v>Wednesday</v>
      </c>
      <c r="C824" s="12">
        <v>45476</v>
      </c>
      <c r="D824" s="4">
        <v>0.70793495370370374</v>
      </c>
      <c r="E8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24" t="s">
        <v>6</v>
      </c>
      <c r="G824" s="2">
        <v>23.02</v>
      </c>
    </row>
    <row r="825" spans="1:7" x14ac:dyDescent="0.25">
      <c r="A8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240703-EVE001</v>
      </c>
      <c r="B825" s="1" t="str">
        <f>TEXT(Coffee_sales_clean[[#This Row],[Transaction Date]],"dddd")</f>
        <v>Wednesday</v>
      </c>
      <c r="C825" s="12">
        <v>45476</v>
      </c>
      <c r="D825" s="4">
        <v>0.7493267013888889</v>
      </c>
      <c r="E8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25" t="s">
        <v>7</v>
      </c>
      <c r="G825" s="2">
        <v>37.72</v>
      </c>
    </row>
    <row r="826" spans="1:7" x14ac:dyDescent="0.25">
      <c r="A8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240703-EVE002</v>
      </c>
      <c r="B826" s="1" t="str">
        <f>TEXT(Coffee_sales_clean[[#This Row],[Transaction Date]],"dddd")</f>
        <v>Wednesday</v>
      </c>
      <c r="C826" s="12">
        <v>45476</v>
      </c>
      <c r="D826" s="4">
        <v>0.79593907407407405</v>
      </c>
      <c r="E8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26" t="s">
        <v>0</v>
      </c>
      <c r="G826" s="2">
        <v>37.72</v>
      </c>
    </row>
    <row r="827" spans="1:7" x14ac:dyDescent="0.25">
      <c r="A8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240704-MOR001</v>
      </c>
      <c r="B827" s="1" t="str">
        <f>TEXT(Coffee_sales_clean[[#This Row],[Transaction Date]],"dddd")</f>
        <v>Thursday</v>
      </c>
      <c r="C827" s="12">
        <v>45477</v>
      </c>
      <c r="D827" s="4">
        <v>0.43499681712962962</v>
      </c>
      <c r="E8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27" t="s">
        <v>3</v>
      </c>
      <c r="G827" s="2">
        <v>32.82</v>
      </c>
    </row>
    <row r="828" spans="1:7" x14ac:dyDescent="0.25">
      <c r="A8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240704-MOR002</v>
      </c>
      <c r="B828" s="1" t="str">
        <f>TEXT(Coffee_sales_clean[[#This Row],[Transaction Date]],"dddd")</f>
        <v>Thursday</v>
      </c>
      <c r="C828" s="12">
        <v>45477</v>
      </c>
      <c r="D828" s="4">
        <v>0.43576690972222221</v>
      </c>
      <c r="E8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28" t="s">
        <v>2</v>
      </c>
      <c r="G828" s="2">
        <v>27.92</v>
      </c>
    </row>
    <row r="829" spans="1:7" x14ac:dyDescent="0.25">
      <c r="A8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240705-LUN001</v>
      </c>
      <c r="B829" s="1" t="str">
        <f>TEXT(Coffee_sales_clean[[#This Row],[Transaction Date]],"dddd")</f>
        <v>Friday</v>
      </c>
      <c r="C829" s="12">
        <v>45478</v>
      </c>
      <c r="D829" s="4">
        <v>0.51422071759259258</v>
      </c>
      <c r="E8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29" t="s">
        <v>4</v>
      </c>
      <c r="G829" s="2">
        <v>37.72</v>
      </c>
    </row>
    <row r="830" spans="1:7" x14ac:dyDescent="0.25">
      <c r="A8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240705-LUN002</v>
      </c>
      <c r="B830" s="1" t="str">
        <f>TEXT(Coffee_sales_clean[[#This Row],[Transaction Date]],"dddd")</f>
        <v>Friday</v>
      </c>
      <c r="C830" s="12">
        <v>45478</v>
      </c>
      <c r="D830" s="4">
        <v>0.57202701388888888</v>
      </c>
      <c r="E8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30" t="s">
        <v>3</v>
      </c>
      <c r="G830" s="2">
        <v>32.82</v>
      </c>
    </row>
    <row r="831" spans="1:7" x14ac:dyDescent="0.25">
      <c r="A8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240705-LUN003</v>
      </c>
      <c r="B831" s="1" t="str">
        <f>TEXT(Coffee_sales_clean[[#This Row],[Transaction Date]],"dddd")</f>
        <v>Friday</v>
      </c>
      <c r="C831" s="12">
        <v>45478</v>
      </c>
      <c r="D831" s="4">
        <v>0.57272950231481479</v>
      </c>
      <c r="E8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31" t="s">
        <v>3</v>
      </c>
      <c r="G831" s="2">
        <v>32.82</v>
      </c>
    </row>
    <row r="832" spans="1:7" x14ac:dyDescent="0.25">
      <c r="A8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240705-EVE001</v>
      </c>
      <c r="B832" s="1" t="str">
        <f>TEXT(Coffee_sales_clean[[#This Row],[Transaction Date]],"dddd")</f>
        <v>Friday</v>
      </c>
      <c r="C832" s="12">
        <v>45478</v>
      </c>
      <c r="D832" s="4">
        <v>0.78884615740740738</v>
      </c>
      <c r="E8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32" t="s">
        <v>6</v>
      </c>
      <c r="G832" s="2">
        <v>23.02</v>
      </c>
    </row>
    <row r="833" spans="1:7" x14ac:dyDescent="0.25">
      <c r="A8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240705-EVE002</v>
      </c>
      <c r="B833" s="1" t="str">
        <f>TEXT(Coffee_sales_clean[[#This Row],[Transaction Date]],"dddd")</f>
        <v>Friday</v>
      </c>
      <c r="C833" s="12">
        <v>45478</v>
      </c>
      <c r="D833" s="4">
        <v>0.82995152777777781</v>
      </c>
      <c r="E8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33" t="s">
        <v>2</v>
      </c>
      <c r="G833" s="2">
        <v>27.92</v>
      </c>
    </row>
    <row r="834" spans="1:7" x14ac:dyDescent="0.25">
      <c r="A8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240705-LAT001</v>
      </c>
      <c r="B834" s="1" t="str">
        <f>TEXT(Coffee_sales_clean[[#This Row],[Transaction Date]],"dddd")</f>
        <v>Friday</v>
      </c>
      <c r="C834" s="12">
        <v>45478</v>
      </c>
      <c r="D834" s="4">
        <v>0.92495915509259263</v>
      </c>
      <c r="E8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34" t="s">
        <v>6</v>
      </c>
      <c r="G834" s="2">
        <v>23.02</v>
      </c>
    </row>
    <row r="835" spans="1:7" x14ac:dyDescent="0.25">
      <c r="A8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240705-LAT002</v>
      </c>
      <c r="B835" s="1" t="str">
        <f>TEXT(Coffee_sales_clean[[#This Row],[Transaction Date]],"dddd")</f>
        <v>Friday</v>
      </c>
      <c r="C835" s="12">
        <v>45478</v>
      </c>
      <c r="D835" s="4">
        <v>0.92920513888888889</v>
      </c>
      <c r="E8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35" t="s">
        <v>2</v>
      </c>
      <c r="G835" s="2">
        <v>27.92</v>
      </c>
    </row>
    <row r="836" spans="1:7" x14ac:dyDescent="0.25">
      <c r="A8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240705-LAT003</v>
      </c>
      <c r="B836" s="1" t="str">
        <f>TEXT(Coffee_sales_clean[[#This Row],[Transaction Date]],"dddd")</f>
        <v>Friday</v>
      </c>
      <c r="C836" s="12">
        <v>45478</v>
      </c>
      <c r="D836" s="4">
        <v>0.92982575231481479</v>
      </c>
      <c r="E8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36" t="s">
        <v>2</v>
      </c>
      <c r="G836" s="2">
        <v>27.92</v>
      </c>
    </row>
    <row r="837" spans="1:7" x14ac:dyDescent="0.25">
      <c r="A8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240705-LAT004</v>
      </c>
      <c r="B837" s="1" t="str">
        <f>TEXT(Coffee_sales_clean[[#This Row],[Transaction Date]],"dddd")</f>
        <v>Friday</v>
      </c>
      <c r="C837" s="12">
        <v>45478</v>
      </c>
      <c r="D837" s="4">
        <v>0.93056885416666668</v>
      </c>
      <c r="E8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37" t="s">
        <v>7</v>
      </c>
      <c r="G837" s="2">
        <v>37.72</v>
      </c>
    </row>
    <row r="838" spans="1:7" x14ac:dyDescent="0.25">
      <c r="A8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240705-LAT005</v>
      </c>
      <c r="B838" s="1" t="str">
        <f>TEXT(Coffee_sales_clean[[#This Row],[Transaction Date]],"dddd")</f>
        <v>Friday</v>
      </c>
      <c r="C838" s="12">
        <v>45478</v>
      </c>
      <c r="D838" s="4">
        <v>0.93135945601851855</v>
      </c>
      <c r="E8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38" t="s">
        <v>3</v>
      </c>
      <c r="G838" s="2">
        <v>32.82</v>
      </c>
    </row>
    <row r="839" spans="1:7" x14ac:dyDescent="0.25">
      <c r="A8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240706-MOR001</v>
      </c>
      <c r="B839" s="1" t="str">
        <f>TEXT(Coffee_sales_clean[[#This Row],[Transaction Date]],"dddd")</f>
        <v>Saturday</v>
      </c>
      <c r="C839" s="12">
        <v>45479</v>
      </c>
      <c r="D839" s="4">
        <v>0.43619011574074074</v>
      </c>
      <c r="E8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39" t="s">
        <v>0</v>
      </c>
      <c r="G839" s="2">
        <v>37.72</v>
      </c>
    </row>
    <row r="840" spans="1:7" x14ac:dyDescent="0.25">
      <c r="A8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240706-EVE001</v>
      </c>
      <c r="B840" s="1" t="str">
        <f>TEXT(Coffee_sales_clean[[#This Row],[Transaction Date]],"dddd")</f>
        <v>Saturday</v>
      </c>
      <c r="C840" s="12">
        <v>45479</v>
      </c>
      <c r="D840" s="4">
        <v>0.71928289351851848</v>
      </c>
      <c r="E8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40" t="s">
        <v>0</v>
      </c>
      <c r="G840" s="2">
        <v>32.82</v>
      </c>
    </row>
    <row r="841" spans="1:7" x14ac:dyDescent="0.25">
      <c r="A8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240706-EVE002</v>
      </c>
      <c r="B841" s="1" t="str">
        <f>TEXT(Coffee_sales_clean[[#This Row],[Transaction Date]],"dddd")</f>
        <v>Saturday</v>
      </c>
      <c r="C841" s="12">
        <v>45479</v>
      </c>
      <c r="D841" s="4">
        <v>0.72015099537037042</v>
      </c>
      <c r="E8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41" t="s">
        <v>0</v>
      </c>
      <c r="G841" s="2">
        <v>32.82</v>
      </c>
    </row>
    <row r="842" spans="1:7" x14ac:dyDescent="0.25">
      <c r="A8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240706-EVE003</v>
      </c>
      <c r="B842" s="1" t="str">
        <f>TEXT(Coffee_sales_clean[[#This Row],[Transaction Date]],"dddd")</f>
        <v>Saturday</v>
      </c>
      <c r="C842" s="12">
        <v>45479</v>
      </c>
      <c r="D842" s="4">
        <v>0.79845031249999998</v>
      </c>
      <c r="E8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42" t="s">
        <v>0</v>
      </c>
      <c r="G842" s="2">
        <v>32.82</v>
      </c>
    </row>
    <row r="843" spans="1:7" x14ac:dyDescent="0.25">
      <c r="A8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240706-EVE004</v>
      </c>
      <c r="B843" s="1" t="str">
        <f>TEXT(Coffee_sales_clean[[#This Row],[Transaction Date]],"dddd")</f>
        <v>Saturday</v>
      </c>
      <c r="C843" s="12">
        <v>45479</v>
      </c>
      <c r="D843" s="4">
        <v>0.79906921296296296</v>
      </c>
      <c r="E8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43" t="s">
        <v>3</v>
      </c>
      <c r="G843" s="2">
        <v>27.92</v>
      </c>
    </row>
    <row r="844" spans="1:7" x14ac:dyDescent="0.25">
      <c r="A8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240707-MOR001</v>
      </c>
      <c r="B844" s="1" t="str">
        <f>TEXT(Coffee_sales_clean[[#This Row],[Transaction Date]],"dddd")</f>
        <v>Sunday</v>
      </c>
      <c r="C844" s="12">
        <v>45480</v>
      </c>
      <c r="D844" s="4">
        <v>0.37801121527777776</v>
      </c>
      <c r="E8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44" t="s">
        <v>7</v>
      </c>
      <c r="G844" s="2">
        <v>32.82</v>
      </c>
    </row>
    <row r="845" spans="1:7" x14ac:dyDescent="0.25">
      <c r="A8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240707-MOR002</v>
      </c>
      <c r="B845" s="1" t="str">
        <f>TEXT(Coffee_sales_clean[[#This Row],[Transaction Date]],"dddd")</f>
        <v>Sunday</v>
      </c>
      <c r="C845" s="12">
        <v>45480</v>
      </c>
      <c r="D845" s="4">
        <v>0.38506047453703701</v>
      </c>
      <c r="E8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45" t="s">
        <v>3</v>
      </c>
      <c r="G845" s="2">
        <v>27.92</v>
      </c>
    </row>
    <row r="846" spans="1:7" x14ac:dyDescent="0.25">
      <c r="A8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240707-MOR003</v>
      </c>
      <c r="B846" s="1" t="str">
        <f>TEXT(Coffee_sales_clean[[#This Row],[Transaction Date]],"dddd")</f>
        <v>Sunday</v>
      </c>
      <c r="C846" s="12">
        <v>45480</v>
      </c>
      <c r="D846" s="4">
        <v>0.38584276620370372</v>
      </c>
      <c r="E8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46" t="s">
        <v>3</v>
      </c>
      <c r="G846" s="2">
        <v>27.92</v>
      </c>
    </row>
    <row r="847" spans="1:7" x14ac:dyDescent="0.25">
      <c r="A8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240707-MOR004</v>
      </c>
      <c r="B847" s="1" t="str">
        <f>TEXT(Coffee_sales_clean[[#This Row],[Transaction Date]],"dddd")</f>
        <v>Sunday</v>
      </c>
      <c r="C847" s="12">
        <v>45480</v>
      </c>
      <c r="D847" s="4">
        <v>0.39501013888888886</v>
      </c>
      <c r="E8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47" t="s">
        <v>7</v>
      </c>
      <c r="G847" s="2">
        <v>32.82</v>
      </c>
    </row>
    <row r="848" spans="1:7" x14ac:dyDescent="0.25">
      <c r="A8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240707-MOR005</v>
      </c>
      <c r="B848" s="1" t="str">
        <f>TEXT(Coffee_sales_clean[[#This Row],[Transaction Date]],"dddd")</f>
        <v>Sunday</v>
      </c>
      <c r="C848" s="12">
        <v>45480</v>
      </c>
      <c r="D848" s="4">
        <v>0.39578922453703702</v>
      </c>
      <c r="E8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48" t="s">
        <v>7</v>
      </c>
      <c r="G848" s="2">
        <v>32.82</v>
      </c>
    </row>
    <row r="849" spans="1:7" x14ac:dyDescent="0.25">
      <c r="A8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240707-AFT001</v>
      </c>
      <c r="B849" s="1" t="str">
        <f>TEXT(Coffee_sales_clean[[#This Row],[Transaction Date]],"dddd")</f>
        <v>Sunday</v>
      </c>
      <c r="C849" s="12">
        <v>45480</v>
      </c>
      <c r="D849" s="4">
        <v>0.62257167824074078</v>
      </c>
      <c r="E8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49" t="s">
        <v>1</v>
      </c>
      <c r="G849" s="2">
        <v>32.82</v>
      </c>
    </row>
    <row r="850" spans="1:7" x14ac:dyDescent="0.25">
      <c r="A8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240707-AFT002</v>
      </c>
      <c r="B850" s="1" t="str">
        <f>TEXT(Coffee_sales_clean[[#This Row],[Transaction Date]],"dddd")</f>
        <v>Sunday</v>
      </c>
      <c r="C850" s="12">
        <v>45480</v>
      </c>
      <c r="D850" s="4">
        <v>0.62346540509259263</v>
      </c>
      <c r="E8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50" t="s">
        <v>4</v>
      </c>
      <c r="G850" s="2">
        <v>32.82</v>
      </c>
    </row>
    <row r="851" spans="1:7" x14ac:dyDescent="0.25">
      <c r="A8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240707-EVE001</v>
      </c>
      <c r="B851" s="1" t="str">
        <f>TEXT(Coffee_sales_clean[[#This Row],[Transaction Date]],"dddd")</f>
        <v>Sunday</v>
      </c>
      <c r="C851" s="12">
        <v>45480</v>
      </c>
      <c r="D851" s="4">
        <v>0.71377643518518519</v>
      </c>
      <c r="E8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51" t="s">
        <v>0</v>
      </c>
      <c r="G851" s="2">
        <v>32.82</v>
      </c>
    </row>
    <row r="852" spans="1:7" x14ac:dyDescent="0.25">
      <c r="A8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240707-EVE002</v>
      </c>
      <c r="B852" s="1" t="str">
        <f>TEXT(Coffee_sales_clean[[#This Row],[Transaction Date]],"dddd")</f>
        <v>Sunday</v>
      </c>
      <c r="C852" s="12">
        <v>45480</v>
      </c>
      <c r="D852" s="4">
        <v>0.81489799768518523</v>
      </c>
      <c r="E8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52" t="s">
        <v>7</v>
      </c>
      <c r="G852" s="2">
        <v>32.82</v>
      </c>
    </row>
    <row r="853" spans="1:7" x14ac:dyDescent="0.25">
      <c r="A8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240707-LAT001</v>
      </c>
      <c r="B853" s="1" t="str">
        <f>TEXT(Coffee_sales_clean[[#This Row],[Transaction Date]],"dddd")</f>
        <v>Sunday</v>
      </c>
      <c r="C853" s="12">
        <v>45480</v>
      </c>
      <c r="D853" s="4">
        <v>0.83439413194444445</v>
      </c>
      <c r="E8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53" t="s">
        <v>1</v>
      </c>
      <c r="G853" s="2">
        <v>32.82</v>
      </c>
    </row>
    <row r="854" spans="1:7" x14ac:dyDescent="0.25">
      <c r="A8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240707-LAT002</v>
      </c>
      <c r="B854" s="1" t="str">
        <f>TEXT(Coffee_sales_clean[[#This Row],[Transaction Date]],"dddd")</f>
        <v>Sunday</v>
      </c>
      <c r="C854" s="12">
        <v>45480</v>
      </c>
      <c r="D854" s="4">
        <v>0.9400029513888889</v>
      </c>
      <c r="E8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54" t="s">
        <v>3</v>
      </c>
      <c r="G854" s="2">
        <v>27.92</v>
      </c>
    </row>
    <row r="855" spans="1:7" x14ac:dyDescent="0.25">
      <c r="A8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240708-MOR001</v>
      </c>
      <c r="B855" s="1" t="str">
        <f>TEXT(Coffee_sales_clean[[#This Row],[Transaction Date]],"dddd")</f>
        <v>Monday</v>
      </c>
      <c r="C855" s="12">
        <v>45481</v>
      </c>
      <c r="D855" s="4">
        <v>0.3146727314814815</v>
      </c>
      <c r="E8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55" t="s">
        <v>0</v>
      </c>
      <c r="G855" s="2">
        <v>32.82</v>
      </c>
    </row>
    <row r="856" spans="1:7" x14ac:dyDescent="0.25">
      <c r="A8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240708-LUN001</v>
      </c>
      <c r="B856" s="1" t="str">
        <f>TEXT(Coffee_sales_clean[[#This Row],[Transaction Date]],"dddd")</f>
        <v>Monday</v>
      </c>
      <c r="C856" s="12">
        <v>45481</v>
      </c>
      <c r="D856" s="4">
        <v>0.50197246527777772</v>
      </c>
      <c r="E8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56" t="s">
        <v>2</v>
      </c>
      <c r="G856" s="2">
        <v>23.02</v>
      </c>
    </row>
    <row r="857" spans="1:7" x14ac:dyDescent="0.25">
      <c r="A8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240708-AFT001</v>
      </c>
      <c r="B857" s="1" t="str">
        <f>TEXT(Coffee_sales_clean[[#This Row],[Transaction Date]],"dddd")</f>
        <v>Monday</v>
      </c>
      <c r="C857" s="12">
        <v>45481</v>
      </c>
      <c r="D857" s="4">
        <v>0.6113929398148148</v>
      </c>
      <c r="E8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57" t="s">
        <v>2</v>
      </c>
      <c r="G857" s="2">
        <v>23.02</v>
      </c>
    </row>
    <row r="858" spans="1:7" x14ac:dyDescent="0.25">
      <c r="A8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240708-EVE001</v>
      </c>
      <c r="B858" s="1" t="str">
        <f>TEXT(Coffee_sales_clean[[#This Row],[Transaction Date]],"dddd")</f>
        <v>Monday</v>
      </c>
      <c r="C858" s="12">
        <v>45481</v>
      </c>
      <c r="D858" s="4">
        <v>0.8129048148148148</v>
      </c>
      <c r="E8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58" t="s">
        <v>3</v>
      </c>
      <c r="G858" s="2">
        <v>27.92</v>
      </c>
    </row>
    <row r="859" spans="1:7" x14ac:dyDescent="0.25">
      <c r="A8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240708-LAT001</v>
      </c>
      <c r="B859" s="1" t="str">
        <f>TEXT(Coffee_sales_clean[[#This Row],[Transaction Date]],"dddd")</f>
        <v>Monday</v>
      </c>
      <c r="C859" s="12">
        <v>45481</v>
      </c>
      <c r="D859" s="4">
        <v>0.92692337962962967</v>
      </c>
      <c r="E8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59" t="s">
        <v>0</v>
      </c>
      <c r="G859" s="2">
        <v>32.82</v>
      </c>
    </row>
    <row r="860" spans="1:7" x14ac:dyDescent="0.25">
      <c r="A8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240709-MOR001</v>
      </c>
      <c r="B860" s="1" t="str">
        <f>TEXT(Coffee_sales_clean[[#This Row],[Transaction Date]],"dddd")</f>
        <v>Tuesday</v>
      </c>
      <c r="C860" s="12">
        <v>45482</v>
      </c>
      <c r="D860" s="4">
        <v>0.43532567129629629</v>
      </c>
      <c r="E8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60" t="s">
        <v>3</v>
      </c>
      <c r="G860" s="2">
        <v>27.92</v>
      </c>
    </row>
    <row r="861" spans="1:7" x14ac:dyDescent="0.25">
      <c r="A8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240709-MOR002</v>
      </c>
      <c r="B861" s="1" t="str">
        <f>TEXT(Coffee_sales_clean[[#This Row],[Transaction Date]],"dddd")</f>
        <v>Tuesday</v>
      </c>
      <c r="C861" s="12">
        <v>45482</v>
      </c>
      <c r="D861" s="4">
        <v>0.44477739583333331</v>
      </c>
      <c r="E8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61" t="s">
        <v>3</v>
      </c>
      <c r="G861" s="2">
        <v>27.92</v>
      </c>
    </row>
    <row r="862" spans="1:7" x14ac:dyDescent="0.25">
      <c r="A8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240709-LUN001</v>
      </c>
      <c r="B862" s="1" t="str">
        <f>TEXT(Coffee_sales_clean[[#This Row],[Transaction Date]],"dddd")</f>
        <v>Tuesday</v>
      </c>
      <c r="C862" s="12">
        <v>45482</v>
      </c>
      <c r="D862" s="4">
        <v>0.47333452546296295</v>
      </c>
      <c r="E8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62" t="s">
        <v>3</v>
      </c>
      <c r="G862" s="2">
        <v>27.92</v>
      </c>
    </row>
    <row r="863" spans="1:7" x14ac:dyDescent="0.25">
      <c r="A8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240709-LUN002</v>
      </c>
      <c r="B863" s="1" t="str">
        <f>TEXT(Coffee_sales_clean[[#This Row],[Transaction Date]],"dddd")</f>
        <v>Tuesday</v>
      </c>
      <c r="C863" s="12">
        <v>45482</v>
      </c>
      <c r="D863" s="4">
        <v>0.4741887037037037</v>
      </c>
      <c r="E8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63" t="s">
        <v>7</v>
      </c>
      <c r="G863" s="2">
        <v>32.82</v>
      </c>
    </row>
    <row r="864" spans="1:7" x14ac:dyDescent="0.25">
      <c r="A8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240709-AFT001</v>
      </c>
      <c r="B864" s="1" t="str">
        <f>TEXT(Coffee_sales_clean[[#This Row],[Transaction Date]],"dddd")</f>
        <v>Tuesday</v>
      </c>
      <c r="C864" s="12">
        <v>45482</v>
      </c>
      <c r="D864" s="4">
        <v>0.69652239583333331</v>
      </c>
      <c r="E8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64" t="s">
        <v>3</v>
      </c>
      <c r="G864" s="2">
        <v>27.92</v>
      </c>
    </row>
    <row r="865" spans="1:7" x14ac:dyDescent="0.25">
      <c r="A8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240710-LUN001</v>
      </c>
      <c r="B865" s="1" t="str">
        <f>TEXT(Coffee_sales_clean[[#This Row],[Transaction Date]],"dddd")</f>
        <v>Wednesday</v>
      </c>
      <c r="C865" s="12">
        <v>45483</v>
      </c>
      <c r="D865" s="4">
        <v>0.46576030092592591</v>
      </c>
      <c r="E8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65" t="s">
        <v>2</v>
      </c>
      <c r="G865" s="2">
        <v>23.02</v>
      </c>
    </row>
    <row r="866" spans="1:7" x14ac:dyDescent="0.25">
      <c r="A8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240710-LUN002</v>
      </c>
      <c r="B866" s="1" t="str">
        <f>TEXT(Coffee_sales_clean[[#This Row],[Transaction Date]],"dddd")</f>
        <v>Wednesday</v>
      </c>
      <c r="C866" s="12">
        <v>45483</v>
      </c>
      <c r="D866" s="4">
        <v>0.52006549768518517</v>
      </c>
      <c r="E8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66" t="s">
        <v>3</v>
      </c>
      <c r="G866" s="2">
        <v>27.92</v>
      </c>
    </row>
    <row r="867" spans="1:7" x14ac:dyDescent="0.25">
      <c r="A8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240710-LAT001</v>
      </c>
      <c r="B867" s="1" t="str">
        <f>TEXT(Coffee_sales_clean[[#This Row],[Transaction Date]],"dddd")</f>
        <v>Wednesday</v>
      </c>
      <c r="C867" s="12">
        <v>45483</v>
      </c>
      <c r="D867" s="4">
        <v>0.9258107523148148</v>
      </c>
      <c r="E8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67" t="s">
        <v>0</v>
      </c>
      <c r="G867" s="2">
        <v>32.82</v>
      </c>
    </row>
    <row r="868" spans="1:7" x14ac:dyDescent="0.25">
      <c r="A8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240711-LUN001</v>
      </c>
      <c r="B868" s="1" t="str">
        <f>TEXT(Coffee_sales_clean[[#This Row],[Transaction Date]],"dddd")</f>
        <v>Thursday</v>
      </c>
      <c r="C868" s="12">
        <v>45484</v>
      </c>
      <c r="D868" s="4">
        <v>0.47740233796296294</v>
      </c>
      <c r="E8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68" t="s">
        <v>1</v>
      </c>
      <c r="G868" s="2">
        <v>32.82</v>
      </c>
    </row>
    <row r="869" spans="1:7" x14ac:dyDescent="0.25">
      <c r="A8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240711-AFT001</v>
      </c>
      <c r="B869" s="1" t="str">
        <f>TEXT(Coffee_sales_clean[[#This Row],[Transaction Date]],"dddd")</f>
        <v>Thursday</v>
      </c>
      <c r="C869" s="12">
        <v>45484</v>
      </c>
      <c r="D869" s="4">
        <v>0.7002165393518518</v>
      </c>
      <c r="E8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869" t="s">
        <v>3</v>
      </c>
      <c r="G869" s="2">
        <v>27.92</v>
      </c>
    </row>
    <row r="870" spans="1:7" x14ac:dyDescent="0.25">
      <c r="A8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240711-LAT001</v>
      </c>
      <c r="B870" s="1" t="str">
        <f>TEXT(Coffee_sales_clean[[#This Row],[Transaction Date]],"dddd")</f>
        <v>Thursday</v>
      </c>
      <c r="C870" s="12">
        <v>45484</v>
      </c>
      <c r="D870" s="4">
        <v>0.93210240740740746</v>
      </c>
      <c r="E8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70" t="s">
        <v>0</v>
      </c>
      <c r="G870" s="2">
        <v>32.82</v>
      </c>
    </row>
    <row r="871" spans="1:7" x14ac:dyDescent="0.25">
      <c r="A8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240711-LAT002</v>
      </c>
      <c r="B871" s="1" t="str">
        <f>TEXT(Coffee_sales_clean[[#This Row],[Transaction Date]],"dddd")</f>
        <v>Thursday</v>
      </c>
      <c r="C871" s="12">
        <v>45484</v>
      </c>
      <c r="D871" s="4">
        <v>0.93817755787037038</v>
      </c>
      <c r="E8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71" t="s">
        <v>2</v>
      </c>
      <c r="G871" s="2">
        <v>23.02</v>
      </c>
    </row>
    <row r="872" spans="1:7" x14ac:dyDescent="0.25">
      <c r="A8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240712-MOR001</v>
      </c>
      <c r="B872" s="1" t="str">
        <f>TEXT(Coffee_sales_clean[[#This Row],[Transaction Date]],"dddd")</f>
        <v>Friday</v>
      </c>
      <c r="C872" s="12">
        <v>45485</v>
      </c>
      <c r="D872" s="4">
        <v>0.33561912037037039</v>
      </c>
      <c r="E8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72" t="s">
        <v>5</v>
      </c>
      <c r="G872" s="2">
        <v>23.02</v>
      </c>
    </row>
    <row r="873" spans="1:7" x14ac:dyDescent="0.25">
      <c r="A8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240712-LUN001</v>
      </c>
      <c r="B873" s="1" t="str">
        <f>TEXT(Coffee_sales_clean[[#This Row],[Transaction Date]],"dddd")</f>
        <v>Friday</v>
      </c>
      <c r="C873" s="12">
        <v>45485</v>
      </c>
      <c r="D873" s="4">
        <v>0.49205302083333335</v>
      </c>
      <c r="E8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73" t="s">
        <v>1</v>
      </c>
      <c r="G873" s="2">
        <v>32.82</v>
      </c>
    </row>
    <row r="874" spans="1:7" x14ac:dyDescent="0.25">
      <c r="A8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240712-LAT001</v>
      </c>
      <c r="B874" s="1" t="str">
        <f>TEXT(Coffee_sales_clean[[#This Row],[Transaction Date]],"dddd")</f>
        <v>Friday</v>
      </c>
      <c r="C874" s="12">
        <v>45485</v>
      </c>
      <c r="D874" s="4">
        <v>0.93987950231481476</v>
      </c>
      <c r="E8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74" t="s">
        <v>1</v>
      </c>
      <c r="G874" s="2">
        <v>32.82</v>
      </c>
    </row>
    <row r="875" spans="1:7" x14ac:dyDescent="0.25">
      <c r="A8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240712-LAT002</v>
      </c>
      <c r="B875" s="1" t="str">
        <f>TEXT(Coffee_sales_clean[[#This Row],[Transaction Date]],"dddd")</f>
        <v>Friday</v>
      </c>
      <c r="C875" s="12">
        <v>45485</v>
      </c>
      <c r="D875" s="4">
        <v>0.94044336805555551</v>
      </c>
      <c r="E8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75" t="s">
        <v>1</v>
      </c>
      <c r="G875" s="2">
        <v>32.82</v>
      </c>
    </row>
    <row r="876" spans="1:7" x14ac:dyDescent="0.25">
      <c r="A8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240712-LAT003</v>
      </c>
      <c r="B876" s="1" t="str">
        <f>TEXT(Coffee_sales_clean[[#This Row],[Transaction Date]],"dddd")</f>
        <v>Friday</v>
      </c>
      <c r="C876" s="12">
        <v>45485</v>
      </c>
      <c r="D876" s="4">
        <v>0.94131386574074072</v>
      </c>
      <c r="E8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76" t="s">
        <v>1</v>
      </c>
      <c r="G876" s="2">
        <v>32.82</v>
      </c>
    </row>
    <row r="877" spans="1:7" x14ac:dyDescent="0.25">
      <c r="A8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240713-MOR001</v>
      </c>
      <c r="B877" s="1" t="str">
        <f>TEXT(Coffee_sales_clean[[#This Row],[Transaction Date]],"dddd")</f>
        <v>Saturday</v>
      </c>
      <c r="C877" s="12">
        <v>45486</v>
      </c>
      <c r="D877" s="4">
        <v>0.44317445601851851</v>
      </c>
      <c r="E8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77" t="s">
        <v>0</v>
      </c>
      <c r="G877" s="2">
        <v>32.82</v>
      </c>
    </row>
    <row r="878" spans="1:7" x14ac:dyDescent="0.25">
      <c r="A8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240713-LUN001</v>
      </c>
      <c r="B878" s="1" t="str">
        <f>TEXT(Coffee_sales_clean[[#This Row],[Transaction Date]],"dddd")</f>
        <v>Saturday</v>
      </c>
      <c r="C878" s="12">
        <v>45486</v>
      </c>
      <c r="D878" s="4">
        <v>0.48724640046296297</v>
      </c>
      <c r="E8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78" t="s">
        <v>0</v>
      </c>
      <c r="G878" s="2">
        <v>32.82</v>
      </c>
    </row>
    <row r="879" spans="1:7" x14ac:dyDescent="0.25">
      <c r="A8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240714-MOR001</v>
      </c>
      <c r="B879" s="1" t="str">
        <f>TEXT(Coffee_sales_clean[[#This Row],[Transaction Date]],"dddd")</f>
        <v>Sunday</v>
      </c>
      <c r="C879" s="12">
        <v>45487</v>
      </c>
      <c r="D879" s="4">
        <v>0.45444799768518518</v>
      </c>
      <c r="E8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79" t="s">
        <v>2</v>
      </c>
      <c r="G879" s="2">
        <v>23.02</v>
      </c>
    </row>
    <row r="880" spans="1:7" x14ac:dyDescent="0.25">
      <c r="A8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240714-MOR002</v>
      </c>
      <c r="B880" s="1" t="str">
        <f>TEXT(Coffee_sales_clean[[#This Row],[Transaction Date]],"dddd")</f>
        <v>Sunday</v>
      </c>
      <c r="C880" s="12">
        <v>45487</v>
      </c>
      <c r="D880" s="4">
        <v>0.45521440972222221</v>
      </c>
      <c r="E8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80" t="s">
        <v>3</v>
      </c>
      <c r="G880" s="2">
        <v>27.92</v>
      </c>
    </row>
    <row r="881" spans="1:7" x14ac:dyDescent="0.25">
      <c r="A8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240714-MOR003</v>
      </c>
      <c r="B881" s="1" t="str">
        <f>TEXT(Coffee_sales_clean[[#This Row],[Transaction Date]],"dddd")</f>
        <v>Sunday</v>
      </c>
      <c r="C881" s="12">
        <v>45487</v>
      </c>
      <c r="D881" s="4">
        <v>0.45590568287037037</v>
      </c>
      <c r="E8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81" t="s">
        <v>7</v>
      </c>
      <c r="G881" s="2">
        <v>32.82</v>
      </c>
    </row>
    <row r="882" spans="1:7" x14ac:dyDescent="0.25">
      <c r="A8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240714-MOR004</v>
      </c>
      <c r="B882" s="1" t="str">
        <f>TEXT(Coffee_sales_clean[[#This Row],[Transaction Date]],"dddd")</f>
        <v>Sunday</v>
      </c>
      <c r="C882" s="12">
        <v>45487</v>
      </c>
      <c r="D882" s="4">
        <v>0.4568757175925926</v>
      </c>
      <c r="E8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82" t="s">
        <v>0</v>
      </c>
      <c r="G882" s="2">
        <v>32.82</v>
      </c>
    </row>
    <row r="883" spans="1:7" x14ac:dyDescent="0.25">
      <c r="A8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240714-LUN001</v>
      </c>
      <c r="B883" s="1" t="str">
        <f>TEXT(Coffee_sales_clean[[#This Row],[Transaction Date]],"dddd")</f>
        <v>Sunday</v>
      </c>
      <c r="C883" s="12">
        <v>45487</v>
      </c>
      <c r="D883" s="4">
        <v>0.45985877314814816</v>
      </c>
      <c r="E8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83" t="s">
        <v>2</v>
      </c>
      <c r="G883" s="2">
        <v>23.02</v>
      </c>
    </row>
    <row r="884" spans="1:7" x14ac:dyDescent="0.25">
      <c r="A8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240714-LAT001</v>
      </c>
      <c r="B884" s="1" t="str">
        <f>TEXT(Coffee_sales_clean[[#This Row],[Transaction Date]],"dddd")</f>
        <v>Sunday</v>
      </c>
      <c r="C884" s="12">
        <v>45487</v>
      </c>
      <c r="D884" s="4">
        <v>0.93854138888888894</v>
      </c>
      <c r="E8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84" t="s">
        <v>0</v>
      </c>
      <c r="G884" s="2">
        <v>32.82</v>
      </c>
    </row>
    <row r="885" spans="1:7" x14ac:dyDescent="0.25">
      <c r="A8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240715-MOR001</v>
      </c>
      <c r="B885" s="1" t="str">
        <f>TEXT(Coffee_sales_clean[[#This Row],[Transaction Date]],"dddd")</f>
        <v>Monday</v>
      </c>
      <c r="C885" s="12">
        <v>45488</v>
      </c>
      <c r="D885" s="4">
        <v>0.31464765046296295</v>
      </c>
      <c r="E8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885" t="s">
        <v>7</v>
      </c>
      <c r="G885" s="2">
        <v>32.82</v>
      </c>
    </row>
    <row r="886" spans="1:7" x14ac:dyDescent="0.25">
      <c r="A8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240716-LUN001</v>
      </c>
      <c r="B886" s="1" t="str">
        <f>TEXT(Coffee_sales_clean[[#This Row],[Transaction Date]],"dddd")</f>
        <v>Tuesday</v>
      </c>
      <c r="C886" s="12">
        <v>45489</v>
      </c>
      <c r="D886" s="4">
        <v>0.51640586805555555</v>
      </c>
      <c r="E8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86" t="s">
        <v>3</v>
      </c>
      <c r="G886" s="2">
        <v>27.92</v>
      </c>
    </row>
    <row r="887" spans="1:7" x14ac:dyDescent="0.25">
      <c r="A8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240716-EVE001</v>
      </c>
      <c r="B887" s="1" t="str">
        <f>TEXT(Coffee_sales_clean[[#This Row],[Transaction Date]],"dddd")</f>
        <v>Tuesday</v>
      </c>
      <c r="C887" s="12">
        <v>45489</v>
      </c>
      <c r="D887" s="4">
        <v>0.81210052083333328</v>
      </c>
      <c r="E8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87" t="s">
        <v>1</v>
      </c>
      <c r="G887" s="2">
        <v>32.82</v>
      </c>
    </row>
    <row r="888" spans="1:7" x14ac:dyDescent="0.25">
      <c r="A8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240717-LUN001</v>
      </c>
      <c r="B888" s="1" t="str">
        <f>TEXT(Coffee_sales_clean[[#This Row],[Transaction Date]],"dddd")</f>
        <v>Wednesday</v>
      </c>
      <c r="C888" s="12">
        <v>45490</v>
      </c>
      <c r="D888" s="4">
        <v>0.54513592592592597</v>
      </c>
      <c r="E8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88" t="s">
        <v>3</v>
      </c>
      <c r="G888" s="2">
        <v>27.92</v>
      </c>
    </row>
    <row r="889" spans="1:7" x14ac:dyDescent="0.25">
      <c r="A8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240718-LUN001</v>
      </c>
      <c r="B889" s="1" t="str">
        <f>TEXT(Coffee_sales_clean[[#This Row],[Transaction Date]],"dddd")</f>
        <v>Thursday</v>
      </c>
      <c r="C889" s="12">
        <v>45491</v>
      </c>
      <c r="D889" s="4">
        <v>0.46543278935185184</v>
      </c>
      <c r="E8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89" t="s">
        <v>3</v>
      </c>
      <c r="G889" s="2">
        <v>27.92</v>
      </c>
    </row>
    <row r="890" spans="1:7" x14ac:dyDescent="0.25">
      <c r="A8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240718-LUN002</v>
      </c>
      <c r="B890" s="1" t="str">
        <f>TEXT(Coffee_sales_clean[[#This Row],[Transaction Date]],"dddd")</f>
        <v>Thursday</v>
      </c>
      <c r="C890" s="12">
        <v>45491</v>
      </c>
      <c r="D890" s="4">
        <v>0.46624344907407406</v>
      </c>
      <c r="E8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90" t="s">
        <v>6</v>
      </c>
      <c r="G890" s="2">
        <v>18.12</v>
      </c>
    </row>
    <row r="891" spans="1:7" x14ac:dyDescent="0.25">
      <c r="A8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240718-LUN003</v>
      </c>
      <c r="B891" s="1" t="str">
        <f>TEXT(Coffee_sales_clean[[#This Row],[Transaction Date]],"dddd")</f>
        <v>Thursday</v>
      </c>
      <c r="C891" s="12">
        <v>45491</v>
      </c>
      <c r="D891" s="4">
        <v>0.48124564814814813</v>
      </c>
      <c r="E8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91" t="s">
        <v>2</v>
      </c>
      <c r="G891" s="2">
        <v>23.02</v>
      </c>
    </row>
    <row r="892" spans="1:7" x14ac:dyDescent="0.25">
      <c r="A8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240718-LUN004</v>
      </c>
      <c r="B892" s="1" t="str">
        <f>TEXT(Coffee_sales_clean[[#This Row],[Transaction Date]],"dddd")</f>
        <v>Thursday</v>
      </c>
      <c r="C892" s="12">
        <v>45491</v>
      </c>
      <c r="D892" s="4">
        <v>0.48250505787037035</v>
      </c>
      <c r="E8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92" t="s">
        <v>2</v>
      </c>
      <c r="G892" s="2">
        <v>23.02</v>
      </c>
    </row>
    <row r="893" spans="1:7" x14ac:dyDescent="0.25">
      <c r="A8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240718-LUN005</v>
      </c>
      <c r="B893" s="1" t="str">
        <f>TEXT(Coffee_sales_clean[[#This Row],[Transaction Date]],"dddd")</f>
        <v>Thursday</v>
      </c>
      <c r="C893" s="12">
        <v>45491</v>
      </c>
      <c r="D893" s="4">
        <v>0.48323501157407406</v>
      </c>
      <c r="E8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93" t="s">
        <v>5</v>
      </c>
      <c r="G893" s="2">
        <v>23.02</v>
      </c>
    </row>
    <row r="894" spans="1:7" x14ac:dyDescent="0.25">
      <c r="A8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240718-LUN006</v>
      </c>
      <c r="B894" s="1" t="str">
        <f>TEXT(Coffee_sales_clean[[#This Row],[Transaction Date]],"dddd")</f>
        <v>Thursday</v>
      </c>
      <c r="C894" s="12">
        <v>45491</v>
      </c>
      <c r="D894" s="4">
        <v>0.55803023148148145</v>
      </c>
      <c r="E8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894" t="s">
        <v>0</v>
      </c>
      <c r="G894" s="2">
        <v>32.82</v>
      </c>
    </row>
    <row r="895" spans="1:7" x14ac:dyDescent="0.25">
      <c r="A8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240718-EVE001</v>
      </c>
      <c r="B895" s="1" t="str">
        <f>TEXT(Coffee_sales_clean[[#This Row],[Transaction Date]],"dddd")</f>
        <v>Thursday</v>
      </c>
      <c r="C895" s="12">
        <v>45491</v>
      </c>
      <c r="D895" s="4">
        <v>0.76277057870370368</v>
      </c>
      <c r="E8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95" t="s">
        <v>7</v>
      </c>
      <c r="G895" s="2">
        <v>32.82</v>
      </c>
    </row>
    <row r="896" spans="1:7" x14ac:dyDescent="0.25">
      <c r="A8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240718-EVE002</v>
      </c>
      <c r="B896" s="1" t="str">
        <f>TEXT(Coffee_sales_clean[[#This Row],[Transaction Date]],"dddd")</f>
        <v>Thursday</v>
      </c>
      <c r="C896" s="12">
        <v>45491</v>
      </c>
      <c r="D896" s="4">
        <v>0.81308520833333331</v>
      </c>
      <c r="E8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896" t="s">
        <v>0</v>
      </c>
      <c r="G896" s="2">
        <v>32.82</v>
      </c>
    </row>
    <row r="897" spans="1:7" x14ac:dyDescent="0.25">
      <c r="A8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240718-LAT001</v>
      </c>
      <c r="B897" s="1" t="str">
        <f>TEXT(Coffee_sales_clean[[#This Row],[Transaction Date]],"dddd")</f>
        <v>Thursday</v>
      </c>
      <c r="C897" s="12">
        <v>45491</v>
      </c>
      <c r="D897" s="4">
        <v>0.88867840277777777</v>
      </c>
      <c r="E8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97" t="s">
        <v>1</v>
      </c>
      <c r="G897" s="2">
        <v>32.82</v>
      </c>
    </row>
    <row r="898" spans="1:7" x14ac:dyDescent="0.25">
      <c r="A8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240718-LAT002</v>
      </c>
      <c r="B898" s="1" t="str">
        <f>TEXT(Coffee_sales_clean[[#This Row],[Transaction Date]],"dddd")</f>
        <v>Thursday</v>
      </c>
      <c r="C898" s="12">
        <v>45491</v>
      </c>
      <c r="D898" s="4">
        <v>0.89027609953703701</v>
      </c>
      <c r="E8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98" t="s">
        <v>0</v>
      </c>
      <c r="G898" s="2">
        <v>32.82</v>
      </c>
    </row>
    <row r="899" spans="1:7" x14ac:dyDescent="0.25">
      <c r="A8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240718-LAT003</v>
      </c>
      <c r="B899" s="1" t="str">
        <f>TEXT(Coffee_sales_clean[[#This Row],[Transaction Date]],"dddd")</f>
        <v>Thursday</v>
      </c>
      <c r="C899" s="12">
        <v>45491</v>
      </c>
      <c r="D899" s="4">
        <v>0.9071605787037037</v>
      </c>
      <c r="E8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899" t="s">
        <v>0</v>
      </c>
      <c r="G899" s="2">
        <v>32.82</v>
      </c>
    </row>
    <row r="900" spans="1:7" x14ac:dyDescent="0.25">
      <c r="A9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240719-LUN001</v>
      </c>
      <c r="B900" s="1" t="str">
        <f>TEXT(Coffee_sales_clean[[#This Row],[Transaction Date]],"dddd")</f>
        <v>Friday</v>
      </c>
      <c r="C900" s="12">
        <v>45492</v>
      </c>
      <c r="D900" s="4">
        <v>0.46044376157407407</v>
      </c>
      <c r="E9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00" t="s">
        <v>2</v>
      </c>
      <c r="G900" s="2">
        <v>23.02</v>
      </c>
    </row>
    <row r="901" spans="1:7" x14ac:dyDescent="0.25">
      <c r="A9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240719-LUN002</v>
      </c>
      <c r="B901" s="1" t="str">
        <f>TEXT(Coffee_sales_clean[[#This Row],[Transaction Date]],"dddd")</f>
        <v>Friday</v>
      </c>
      <c r="C901" s="12">
        <v>45492</v>
      </c>
      <c r="D901" s="4">
        <v>0.46968181712962964</v>
      </c>
      <c r="E9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01" t="s">
        <v>3</v>
      </c>
      <c r="G901" s="2">
        <v>27.92</v>
      </c>
    </row>
    <row r="902" spans="1:7" x14ac:dyDescent="0.25">
      <c r="A9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240719-LUN003</v>
      </c>
      <c r="B902" s="1" t="str">
        <f>TEXT(Coffee_sales_clean[[#This Row],[Transaction Date]],"dddd")</f>
        <v>Friday</v>
      </c>
      <c r="C902" s="12">
        <v>45492</v>
      </c>
      <c r="D902" s="4">
        <v>0.54071251157407407</v>
      </c>
      <c r="E9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02" t="s">
        <v>0</v>
      </c>
      <c r="G902" s="2">
        <v>32.82</v>
      </c>
    </row>
    <row r="903" spans="1:7" x14ac:dyDescent="0.25">
      <c r="A9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240719-LUN004</v>
      </c>
      <c r="B903" s="1" t="str">
        <f>TEXT(Coffee_sales_clean[[#This Row],[Transaction Date]],"dddd")</f>
        <v>Friday</v>
      </c>
      <c r="C903" s="12">
        <v>45492</v>
      </c>
      <c r="D903" s="4">
        <v>0.54161322916666665</v>
      </c>
      <c r="E9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03" t="s">
        <v>3</v>
      </c>
      <c r="G903" s="2">
        <v>27.92</v>
      </c>
    </row>
    <row r="904" spans="1:7" x14ac:dyDescent="0.25">
      <c r="A9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240719-AFT001</v>
      </c>
      <c r="B904" s="1" t="str">
        <f>TEXT(Coffee_sales_clean[[#This Row],[Transaction Date]],"dddd")</f>
        <v>Friday</v>
      </c>
      <c r="C904" s="12">
        <v>45492</v>
      </c>
      <c r="D904" s="4">
        <v>0.58982310185185183</v>
      </c>
      <c r="E9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04" t="s">
        <v>0</v>
      </c>
      <c r="G904" s="2">
        <v>32.82</v>
      </c>
    </row>
    <row r="905" spans="1:7" x14ac:dyDescent="0.25">
      <c r="A9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240719-AFT002</v>
      </c>
      <c r="B905" s="1" t="str">
        <f>TEXT(Coffee_sales_clean[[#This Row],[Transaction Date]],"dddd")</f>
        <v>Friday</v>
      </c>
      <c r="C905" s="12">
        <v>45492</v>
      </c>
      <c r="D905" s="4">
        <v>0.59122806712962961</v>
      </c>
      <c r="E9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05" t="s">
        <v>4</v>
      </c>
      <c r="G905" s="2">
        <v>32.82</v>
      </c>
    </row>
    <row r="906" spans="1:7" x14ac:dyDescent="0.25">
      <c r="A9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240719-AFT003</v>
      </c>
      <c r="B906" s="1" t="str">
        <f>TEXT(Coffee_sales_clean[[#This Row],[Transaction Date]],"dddd")</f>
        <v>Friday</v>
      </c>
      <c r="C906" s="12">
        <v>45492</v>
      </c>
      <c r="D906" s="4">
        <v>0.69188972222222223</v>
      </c>
      <c r="E9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06" t="s">
        <v>0</v>
      </c>
      <c r="G906" s="2">
        <v>32.82</v>
      </c>
    </row>
    <row r="907" spans="1:7" x14ac:dyDescent="0.25">
      <c r="A9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240719-AFT004</v>
      </c>
      <c r="B907" s="1" t="str">
        <f>TEXT(Coffee_sales_clean[[#This Row],[Transaction Date]],"dddd")</f>
        <v>Friday</v>
      </c>
      <c r="C907" s="12">
        <v>45492</v>
      </c>
      <c r="D907" s="4">
        <v>0.69277555555555559</v>
      </c>
      <c r="E9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07" t="s">
        <v>0</v>
      </c>
      <c r="G907" s="2">
        <v>32.82</v>
      </c>
    </row>
    <row r="908" spans="1:7" x14ac:dyDescent="0.25">
      <c r="A9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240720-MOR001</v>
      </c>
      <c r="B908" s="1" t="str">
        <f>TEXT(Coffee_sales_clean[[#This Row],[Transaction Date]],"dddd")</f>
        <v>Saturday</v>
      </c>
      <c r="C908" s="12">
        <v>45493</v>
      </c>
      <c r="D908" s="4">
        <v>0.33732024305555558</v>
      </c>
      <c r="E9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08" t="s">
        <v>2</v>
      </c>
      <c r="G908" s="2">
        <v>23.02</v>
      </c>
    </row>
    <row r="909" spans="1:7" x14ac:dyDescent="0.25">
      <c r="A9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240720-MOR002</v>
      </c>
      <c r="B909" s="1" t="str">
        <f>TEXT(Coffee_sales_clean[[#This Row],[Transaction Date]],"dddd")</f>
        <v>Saturday</v>
      </c>
      <c r="C909" s="12">
        <v>45493</v>
      </c>
      <c r="D909" s="4">
        <v>0.3380634837962963</v>
      </c>
      <c r="E9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09" t="s">
        <v>0</v>
      </c>
      <c r="G909" s="2">
        <v>32.82</v>
      </c>
    </row>
    <row r="910" spans="1:7" x14ac:dyDescent="0.25">
      <c r="A9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240720-MOR003</v>
      </c>
      <c r="B910" s="1" t="str">
        <f>TEXT(Coffee_sales_clean[[#This Row],[Transaction Date]],"dddd")</f>
        <v>Saturday</v>
      </c>
      <c r="C910" s="12">
        <v>45493</v>
      </c>
      <c r="D910" s="4">
        <v>0.33878973379629629</v>
      </c>
      <c r="E9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10" t="s">
        <v>2</v>
      </c>
      <c r="G910" s="2">
        <v>23.02</v>
      </c>
    </row>
    <row r="911" spans="1:7" x14ac:dyDescent="0.25">
      <c r="A9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240720-MOR004</v>
      </c>
      <c r="B911" s="1" t="str">
        <f>TEXT(Coffee_sales_clean[[#This Row],[Transaction Date]],"dddd")</f>
        <v>Saturday</v>
      </c>
      <c r="C911" s="12">
        <v>45493</v>
      </c>
      <c r="D911" s="4">
        <v>0.37562042824074077</v>
      </c>
      <c r="E9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11" t="s">
        <v>0</v>
      </c>
      <c r="G911" s="2">
        <v>32.82</v>
      </c>
    </row>
    <row r="912" spans="1:7" x14ac:dyDescent="0.25">
      <c r="A9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240720-MOR005</v>
      </c>
      <c r="B912" s="1" t="str">
        <f>TEXT(Coffee_sales_clean[[#This Row],[Transaction Date]],"dddd")</f>
        <v>Saturday</v>
      </c>
      <c r="C912" s="12">
        <v>45493</v>
      </c>
      <c r="D912" s="4">
        <v>0.3767112037037037</v>
      </c>
      <c r="E9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12" t="s">
        <v>0</v>
      </c>
      <c r="G912" s="2">
        <v>32.82</v>
      </c>
    </row>
    <row r="913" spans="1:7" x14ac:dyDescent="0.25">
      <c r="A9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240720-MOR006</v>
      </c>
      <c r="B913" s="1" t="str">
        <f>TEXT(Coffee_sales_clean[[#This Row],[Transaction Date]],"dddd")</f>
        <v>Saturday</v>
      </c>
      <c r="C913" s="12">
        <v>45493</v>
      </c>
      <c r="D913" s="4">
        <v>0.44399356481481483</v>
      </c>
      <c r="E9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13" t="s">
        <v>2</v>
      </c>
      <c r="G913" s="2">
        <v>23.02</v>
      </c>
    </row>
    <row r="914" spans="1:7" x14ac:dyDescent="0.25">
      <c r="A9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240720-AFT001</v>
      </c>
      <c r="B914" s="1" t="str">
        <f>TEXT(Coffee_sales_clean[[#This Row],[Transaction Date]],"dddd")</f>
        <v>Saturday</v>
      </c>
      <c r="C914" s="12">
        <v>45493</v>
      </c>
      <c r="D914" s="4">
        <v>0.63552339120370371</v>
      </c>
      <c r="E9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14" t="s">
        <v>0</v>
      </c>
      <c r="G914" s="2">
        <v>32.82</v>
      </c>
    </row>
    <row r="915" spans="1:7" x14ac:dyDescent="0.25">
      <c r="A9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240721-MOR001</v>
      </c>
      <c r="B915" s="1" t="str">
        <f>TEXT(Coffee_sales_clean[[#This Row],[Transaction Date]],"dddd")</f>
        <v>Sunday</v>
      </c>
      <c r="C915" s="12">
        <v>45494</v>
      </c>
      <c r="D915" s="4">
        <v>0.43814604166666665</v>
      </c>
      <c r="E9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15" t="s">
        <v>4</v>
      </c>
      <c r="G915" s="2">
        <v>32.82</v>
      </c>
    </row>
    <row r="916" spans="1:7" x14ac:dyDescent="0.25">
      <c r="A9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240721-LUN001</v>
      </c>
      <c r="B916" s="1" t="str">
        <f>TEXT(Coffee_sales_clean[[#This Row],[Transaction Date]],"dddd")</f>
        <v>Sunday</v>
      </c>
      <c r="C916" s="12">
        <v>45494</v>
      </c>
      <c r="D916" s="4">
        <v>0.48574972222222224</v>
      </c>
      <c r="E9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16" t="s">
        <v>7</v>
      </c>
      <c r="G916" s="2">
        <v>32.82</v>
      </c>
    </row>
    <row r="917" spans="1:7" x14ac:dyDescent="0.25">
      <c r="A9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240721-LUN002</v>
      </c>
      <c r="B917" s="1" t="str">
        <f>TEXT(Coffee_sales_clean[[#This Row],[Transaction Date]],"dddd")</f>
        <v>Sunday</v>
      </c>
      <c r="C917" s="12">
        <v>45494</v>
      </c>
      <c r="D917" s="4">
        <v>0.56563482638888885</v>
      </c>
      <c r="E9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17" t="s">
        <v>5</v>
      </c>
      <c r="G917" s="2">
        <v>23.02</v>
      </c>
    </row>
    <row r="918" spans="1:7" x14ac:dyDescent="0.25">
      <c r="A9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240721-LUN003</v>
      </c>
      <c r="B918" s="1" t="str">
        <f>TEXT(Coffee_sales_clean[[#This Row],[Transaction Date]],"dddd")</f>
        <v>Sunday</v>
      </c>
      <c r="C918" s="12">
        <v>45494</v>
      </c>
      <c r="D918" s="4">
        <v>0.57119726851851849</v>
      </c>
      <c r="E9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18" t="s">
        <v>0</v>
      </c>
      <c r="G918" s="2">
        <v>32.82</v>
      </c>
    </row>
    <row r="919" spans="1:7" x14ac:dyDescent="0.25">
      <c r="A9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240722-MOR001</v>
      </c>
      <c r="B919" s="1" t="str">
        <f>TEXT(Coffee_sales_clean[[#This Row],[Transaction Date]],"dddd")</f>
        <v>Monday</v>
      </c>
      <c r="C919" s="12">
        <v>45495</v>
      </c>
      <c r="D919" s="4">
        <v>0.34262901620370373</v>
      </c>
      <c r="E9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19" t="s">
        <v>2</v>
      </c>
      <c r="G919" s="2">
        <v>23.02</v>
      </c>
    </row>
    <row r="920" spans="1:7" x14ac:dyDescent="0.25">
      <c r="A9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240722-MOR002</v>
      </c>
      <c r="B920" s="1" t="str">
        <f>TEXT(Coffee_sales_clean[[#This Row],[Transaction Date]],"dddd")</f>
        <v>Monday</v>
      </c>
      <c r="C920" s="12">
        <v>45495</v>
      </c>
      <c r="D920" s="4">
        <v>0.36168465277777778</v>
      </c>
      <c r="E9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0" t="s">
        <v>2</v>
      </c>
      <c r="G920" s="2">
        <v>23.02</v>
      </c>
    </row>
    <row r="921" spans="1:7" x14ac:dyDescent="0.25">
      <c r="A9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240722-MOR003</v>
      </c>
      <c r="B921" s="1" t="str">
        <f>TEXT(Coffee_sales_clean[[#This Row],[Transaction Date]],"dddd")</f>
        <v>Monday</v>
      </c>
      <c r="C921" s="12">
        <v>45495</v>
      </c>
      <c r="D921" s="4">
        <v>0.42751465277777778</v>
      </c>
      <c r="E9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1" t="s">
        <v>3</v>
      </c>
      <c r="G921" s="2">
        <v>27.92</v>
      </c>
    </row>
    <row r="922" spans="1:7" x14ac:dyDescent="0.25">
      <c r="A9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240722-AFT001</v>
      </c>
      <c r="B922" s="1" t="str">
        <f>TEXT(Coffee_sales_clean[[#This Row],[Transaction Date]],"dddd")</f>
        <v>Monday</v>
      </c>
      <c r="C922" s="12">
        <v>45495</v>
      </c>
      <c r="D922" s="4">
        <v>0.69765732638888889</v>
      </c>
      <c r="E9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22" t="s">
        <v>0</v>
      </c>
      <c r="G922" s="2">
        <v>32.82</v>
      </c>
    </row>
    <row r="923" spans="1:7" x14ac:dyDescent="0.25">
      <c r="A9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240723-MOR001</v>
      </c>
      <c r="B923" s="1" t="str">
        <f>TEXT(Coffee_sales_clean[[#This Row],[Transaction Date]],"dddd")</f>
        <v>Tuesday</v>
      </c>
      <c r="C923" s="12">
        <v>45496</v>
      </c>
      <c r="D923" s="4">
        <v>0.34231746527777779</v>
      </c>
      <c r="E9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3" t="s">
        <v>0</v>
      </c>
      <c r="G923" s="2">
        <v>32.82</v>
      </c>
    </row>
    <row r="924" spans="1:7" x14ac:dyDescent="0.25">
      <c r="A9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240723-MOR002</v>
      </c>
      <c r="B924" s="1" t="str">
        <f>TEXT(Coffee_sales_clean[[#This Row],[Transaction Date]],"dddd")</f>
        <v>Tuesday</v>
      </c>
      <c r="C924" s="12">
        <v>45496</v>
      </c>
      <c r="D924" s="4">
        <v>0.36133079861111111</v>
      </c>
      <c r="E9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4" t="s">
        <v>2</v>
      </c>
      <c r="G924" s="2">
        <v>23.02</v>
      </c>
    </row>
    <row r="925" spans="1:7" x14ac:dyDescent="0.25">
      <c r="A9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240723-MOR003</v>
      </c>
      <c r="B925" s="1" t="str">
        <f>TEXT(Coffee_sales_clean[[#This Row],[Transaction Date]],"dddd")</f>
        <v>Tuesday</v>
      </c>
      <c r="C925" s="12">
        <v>45496</v>
      </c>
      <c r="D925" s="4">
        <v>0.36451175925925927</v>
      </c>
      <c r="E9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5" t="s">
        <v>3</v>
      </c>
      <c r="G925" s="2">
        <v>27.92</v>
      </c>
    </row>
    <row r="926" spans="1:7" x14ac:dyDescent="0.25">
      <c r="A9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240723-MOR004</v>
      </c>
      <c r="B926" s="1" t="str">
        <f>TEXT(Coffee_sales_clean[[#This Row],[Transaction Date]],"dddd")</f>
        <v>Tuesday</v>
      </c>
      <c r="C926" s="12">
        <v>45496</v>
      </c>
      <c r="D926" s="4">
        <v>0.36765170138888886</v>
      </c>
      <c r="E9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6" t="s">
        <v>4</v>
      </c>
      <c r="G926" s="2">
        <v>32.82</v>
      </c>
    </row>
    <row r="927" spans="1:7" x14ac:dyDescent="0.25">
      <c r="A9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240723-MOR005</v>
      </c>
      <c r="B927" s="1" t="str">
        <f>TEXT(Coffee_sales_clean[[#This Row],[Transaction Date]],"dddd")</f>
        <v>Tuesday</v>
      </c>
      <c r="C927" s="12">
        <v>45496</v>
      </c>
      <c r="D927" s="4">
        <v>0.36886996527777777</v>
      </c>
      <c r="E9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7" t="s">
        <v>0</v>
      </c>
      <c r="G927" s="2">
        <v>32.82</v>
      </c>
    </row>
    <row r="928" spans="1:7" x14ac:dyDescent="0.25">
      <c r="A9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240723-MOR006</v>
      </c>
      <c r="B928" s="1" t="str">
        <f>TEXT(Coffee_sales_clean[[#This Row],[Transaction Date]],"dddd")</f>
        <v>Tuesday</v>
      </c>
      <c r="C928" s="12">
        <v>45496</v>
      </c>
      <c r="D928" s="4">
        <v>0.37622346064814816</v>
      </c>
      <c r="E9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8" t="s">
        <v>2</v>
      </c>
      <c r="G928" s="2">
        <v>23.02</v>
      </c>
    </row>
    <row r="929" spans="1:7" x14ac:dyDescent="0.25">
      <c r="A9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240723-MOR007</v>
      </c>
      <c r="B929" s="1" t="str">
        <f>TEXT(Coffee_sales_clean[[#This Row],[Transaction Date]],"dddd")</f>
        <v>Tuesday</v>
      </c>
      <c r="C929" s="12">
        <v>45496</v>
      </c>
      <c r="D929" s="4">
        <v>0.41917236111111111</v>
      </c>
      <c r="E9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29" t="s">
        <v>3</v>
      </c>
      <c r="G929" s="2">
        <v>27.92</v>
      </c>
    </row>
    <row r="930" spans="1:7" x14ac:dyDescent="0.25">
      <c r="A9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240723-AFT001</v>
      </c>
      <c r="B930" s="1" t="str">
        <f>TEXT(Coffee_sales_clean[[#This Row],[Transaction Date]],"dddd")</f>
        <v>Tuesday</v>
      </c>
      <c r="C930" s="12">
        <v>45496</v>
      </c>
      <c r="D930" s="4">
        <v>0.63894642361111109</v>
      </c>
      <c r="E9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30" t="s">
        <v>3</v>
      </c>
      <c r="G930" s="2">
        <v>27.92</v>
      </c>
    </row>
    <row r="931" spans="1:7" x14ac:dyDescent="0.25">
      <c r="A9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240723-AFT002</v>
      </c>
      <c r="B931" s="1" t="str">
        <f>TEXT(Coffee_sales_clean[[#This Row],[Transaction Date]],"dddd")</f>
        <v>Tuesday</v>
      </c>
      <c r="C931" s="12">
        <v>45496</v>
      </c>
      <c r="D931" s="4">
        <v>0.63959814814814819</v>
      </c>
      <c r="E9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31" t="s">
        <v>0</v>
      </c>
      <c r="G931" s="2">
        <v>32.82</v>
      </c>
    </row>
    <row r="932" spans="1:7" x14ac:dyDescent="0.25">
      <c r="A9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240723-LAT001</v>
      </c>
      <c r="B932" s="1" t="str">
        <f>TEXT(Coffee_sales_clean[[#This Row],[Transaction Date]],"dddd")</f>
        <v>Tuesday</v>
      </c>
      <c r="C932" s="12">
        <v>45496</v>
      </c>
      <c r="D932" s="4">
        <v>0.87616449074074076</v>
      </c>
      <c r="E9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32" t="s">
        <v>0</v>
      </c>
      <c r="G932" s="2">
        <v>32.82</v>
      </c>
    </row>
    <row r="933" spans="1:7" x14ac:dyDescent="0.25">
      <c r="A9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240723-LAT002</v>
      </c>
      <c r="B933" s="1" t="str">
        <f>TEXT(Coffee_sales_clean[[#This Row],[Transaction Date]],"dddd")</f>
        <v>Tuesday</v>
      </c>
      <c r="C933" s="12">
        <v>45496</v>
      </c>
      <c r="D933" s="4">
        <v>0.89112848379629628</v>
      </c>
      <c r="E9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33" t="s">
        <v>2</v>
      </c>
      <c r="G933" s="2">
        <v>23.02</v>
      </c>
    </row>
    <row r="934" spans="1:7" x14ac:dyDescent="0.25">
      <c r="A9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240723-LAT003</v>
      </c>
      <c r="B934" s="1" t="str">
        <f>TEXT(Coffee_sales_clean[[#This Row],[Transaction Date]],"dddd")</f>
        <v>Tuesday</v>
      </c>
      <c r="C934" s="12">
        <v>45496</v>
      </c>
      <c r="D934" s="4">
        <v>0.89192834490740736</v>
      </c>
      <c r="E9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34" t="s">
        <v>2</v>
      </c>
      <c r="G934" s="2">
        <v>23.02</v>
      </c>
    </row>
    <row r="935" spans="1:7" x14ac:dyDescent="0.25">
      <c r="A9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240724-MOR001</v>
      </c>
      <c r="B935" s="1" t="str">
        <f>TEXT(Coffee_sales_clean[[#This Row],[Transaction Date]],"dddd")</f>
        <v>Wednesday</v>
      </c>
      <c r="C935" s="12">
        <v>45497</v>
      </c>
      <c r="D935" s="4">
        <v>0.38622469907407408</v>
      </c>
      <c r="E9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35" t="s">
        <v>3</v>
      </c>
      <c r="G935" s="2">
        <v>27.92</v>
      </c>
    </row>
    <row r="936" spans="1:7" x14ac:dyDescent="0.25">
      <c r="A9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240724-MOR002</v>
      </c>
      <c r="B936" s="1" t="str">
        <f>TEXT(Coffee_sales_clean[[#This Row],[Transaction Date]],"dddd")</f>
        <v>Wednesday</v>
      </c>
      <c r="C936" s="12">
        <v>45497</v>
      </c>
      <c r="D936" s="4">
        <v>0.40202554398148149</v>
      </c>
      <c r="E9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36" t="s">
        <v>3</v>
      </c>
      <c r="G936" s="2">
        <v>27.92</v>
      </c>
    </row>
    <row r="937" spans="1:7" x14ac:dyDescent="0.25">
      <c r="A9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240724-MOR003</v>
      </c>
      <c r="B937" s="1" t="str">
        <f>TEXT(Coffee_sales_clean[[#This Row],[Transaction Date]],"dddd")</f>
        <v>Wednesday</v>
      </c>
      <c r="C937" s="12">
        <v>45497</v>
      </c>
      <c r="D937" s="4">
        <v>0.41293351851851851</v>
      </c>
      <c r="E9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37" t="s">
        <v>6</v>
      </c>
      <c r="G937" s="2">
        <v>18.12</v>
      </c>
    </row>
    <row r="938" spans="1:7" x14ac:dyDescent="0.25">
      <c r="A9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240724-LUN001</v>
      </c>
      <c r="B938" s="1" t="str">
        <f>TEXT(Coffee_sales_clean[[#This Row],[Transaction Date]],"dddd")</f>
        <v>Wednesday</v>
      </c>
      <c r="C938" s="12">
        <v>45497</v>
      </c>
      <c r="D938" s="4">
        <v>0.48880927083333331</v>
      </c>
      <c r="E9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38" t="s">
        <v>7</v>
      </c>
      <c r="G938" s="2">
        <v>32.82</v>
      </c>
    </row>
    <row r="939" spans="1:7" x14ac:dyDescent="0.25">
      <c r="A9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240724-LUN002</v>
      </c>
      <c r="B939" s="1" t="str">
        <f>TEXT(Coffee_sales_clean[[#This Row],[Transaction Date]],"dddd")</f>
        <v>Wednesday</v>
      </c>
      <c r="C939" s="12">
        <v>45497</v>
      </c>
      <c r="D939" s="4">
        <v>0.58002107638888889</v>
      </c>
      <c r="E9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39" t="s">
        <v>0</v>
      </c>
      <c r="G939" s="2">
        <v>32.82</v>
      </c>
    </row>
    <row r="940" spans="1:7" x14ac:dyDescent="0.25">
      <c r="A9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240724-AFT001</v>
      </c>
      <c r="B940" s="1" t="str">
        <f>TEXT(Coffee_sales_clean[[#This Row],[Transaction Date]],"dddd")</f>
        <v>Wednesday</v>
      </c>
      <c r="C940" s="12">
        <v>45497</v>
      </c>
      <c r="D940" s="4">
        <v>0.61515932870370371</v>
      </c>
      <c r="E9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40" t="s">
        <v>6</v>
      </c>
      <c r="G940" s="2">
        <v>18.12</v>
      </c>
    </row>
    <row r="941" spans="1:7" x14ac:dyDescent="0.25">
      <c r="A9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240724-AFT002</v>
      </c>
      <c r="B941" s="1" t="str">
        <f>TEXT(Coffee_sales_clean[[#This Row],[Transaction Date]],"dddd")</f>
        <v>Wednesday</v>
      </c>
      <c r="C941" s="12">
        <v>45497</v>
      </c>
      <c r="D941" s="4">
        <v>0.63785326388888886</v>
      </c>
      <c r="E9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41" t="s">
        <v>0</v>
      </c>
      <c r="G941" s="2">
        <v>32.82</v>
      </c>
    </row>
    <row r="942" spans="1:7" x14ac:dyDescent="0.25">
      <c r="A9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240724-EVE001</v>
      </c>
      <c r="B942" s="1" t="str">
        <f>TEXT(Coffee_sales_clean[[#This Row],[Transaction Date]],"dddd")</f>
        <v>Wednesday</v>
      </c>
      <c r="C942" s="12">
        <v>45497</v>
      </c>
      <c r="D942" s="4">
        <v>0.80214905092592592</v>
      </c>
      <c r="E9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42" t="s">
        <v>7</v>
      </c>
      <c r="G942" s="2">
        <v>32.82</v>
      </c>
    </row>
    <row r="943" spans="1:7" x14ac:dyDescent="0.25">
      <c r="A9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240724-EVE002</v>
      </c>
      <c r="B943" s="1" t="str">
        <f>TEXT(Coffee_sales_clean[[#This Row],[Transaction Date]],"dddd")</f>
        <v>Wednesday</v>
      </c>
      <c r="C943" s="12">
        <v>45497</v>
      </c>
      <c r="D943" s="4">
        <v>0.80346966435185185</v>
      </c>
      <c r="E9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43" t="s">
        <v>7</v>
      </c>
      <c r="G943" s="2">
        <v>32.82</v>
      </c>
    </row>
    <row r="944" spans="1:7" x14ac:dyDescent="0.25">
      <c r="A9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240724-LAT001</v>
      </c>
      <c r="B944" s="1" t="str">
        <f>TEXT(Coffee_sales_clean[[#This Row],[Transaction Date]],"dddd")</f>
        <v>Wednesday</v>
      </c>
      <c r="C944" s="12">
        <v>45497</v>
      </c>
      <c r="D944" s="4">
        <v>0.88723144675925925</v>
      </c>
      <c r="E9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44" t="s">
        <v>3</v>
      </c>
      <c r="G944" s="2">
        <v>27.92</v>
      </c>
    </row>
    <row r="945" spans="1:7" x14ac:dyDescent="0.25">
      <c r="A9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240724-LAT002</v>
      </c>
      <c r="B945" s="1" t="str">
        <f>TEXT(Coffee_sales_clean[[#This Row],[Transaction Date]],"dddd")</f>
        <v>Wednesday</v>
      </c>
      <c r="C945" s="12">
        <v>45497</v>
      </c>
      <c r="D945" s="4">
        <v>0.88797793981481477</v>
      </c>
      <c r="E9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45" t="s">
        <v>2</v>
      </c>
      <c r="G945" s="2">
        <v>23.02</v>
      </c>
    </row>
    <row r="946" spans="1:7" x14ac:dyDescent="0.25">
      <c r="A9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240724-LAT003</v>
      </c>
      <c r="B946" s="1" t="str">
        <f>TEXT(Coffee_sales_clean[[#This Row],[Transaction Date]],"dddd")</f>
        <v>Wednesday</v>
      </c>
      <c r="C946" s="12">
        <v>45497</v>
      </c>
      <c r="D946" s="4">
        <v>0.89256357638888884</v>
      </c>
      <c r="E9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46" t="s">
        <v>2</v>
      </c>
      <c r="G946" s="2">
        <v>23.02</v>
      </c>
    </row>
    <row r="947" spans="1:7" x14ac:dyDescent="0.25">
      <c r="A9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240725-MOR001</v>
      </c>
      <c r="B947" s="1" t="str">
        <f>TEXT(Coffee_sales_clean[[#This Row],[Transaction Date]],"dddd")</f>
        <v>Thursday</v>
      </c>
      <c r="C947" s="12">
        <v>45498</v>
      </c>
      <c r="D947" s="4">
        <v>0.32972146990740742</v>
      </c>
      <c r="E9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47" t="s">
        <v>2</v>
      </c>
      <c r="G947" s="2">
        <v>23.02</v>
      </c>
    </row>
    <row r="948" spans="1:7" x14ac:dyDescent="0.25">
      <c r="A9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240725-MOR002</v>
      </c>
      <c r="B948" s="1" t="str">
        <f>TEXT(Coffee_sales_clean[[#This Row],[Transaction Date]],"dddd")</f>
        <v>Thursday</v>
      </c>
      <c r="C948" s="12">
        <v>45498</v>
      </c>
      <c r="D948" s="4">
        <v>0.36757439814814813</v>
      </c>
      <c r="E9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48" t="s">
        <v>0</v>
      </c>
      <c r="G948" s="2">
        <v>32.82</v>
      </c>
    </row>
    <row r="949" spans="1:7" x14ac:dyDescent="0.25">
      <c r="A9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240725-MOR003</v>
      </c>
      <c r="B949" s="1" t="str">
        <f>TEXT(Coffee_sales_clean[[#This Row],[Transaction Date]],"dddd")</f>
        <v>Thursday</v>
      </c>
      <c r="C949" s="12">
        <v>45498</v>
      </c>
      <c r="D949" s="4">
        <v>0.43732209490740742</v>
      </c>
      <c r="E9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49" t="s">
        <v>3</v>
      </c>
      <c r="G949" s="2">
        <v>27.92</v>
      </c>
    </row>
    <row r="950" spans="1:7" x14ac:dyDescent="0.25">
      <c r="A9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240725-LUN001</v>
      </c>
      <c r="B950" s="1" t="str">
        <f>TEXT(Coffee_sales_clean[[#This Row],[Transaction Date]],"dddd")</f>
        <v>Thursday</v>
      </c>
      <c r="C950" s="12">
        <v>45498</v>
      </c>
      <c r="D950" s="4">
        <v>0.47644329861111112</v>
      </c>
      <c r="E9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50" t="s">
        <v>2</v>
      </c>
      <c r="G950" s="2">
        <v>23.02</v>
      </c>
    </row>
    <row r="951" spans="1:7" x14ac:dyDescent="0.25">
      <c r="A9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240725-AFT001</v>
      </c>
      <c r="B951" s="1" t="str">
        <f>TEXT(Coffee_sales_clean[[#This Row],[Transaction Date]],"dddd")</f>
        <v>Thursday</v>
      </c>
      <c r="C951" s="12">
        <v>45498</v>
      </c>
      <c r="D951" s="4">
        <v>0.64243648148148147</v>
      </c>
      <c r="E9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51" t="s">
        <v>7</v>
      </c>
      <c r="G951" s="2">
        <v>32.82</v>
      </c>
    </row>
    <row r="952" spans="1:7" x14ac:dyDescent="0.25">
      <c r="A9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240725-EVE001</v>
      </c>
      <c r="B952" s="1" t="str">
        <f>TEXT(Coffee_sales_clean[[#This Row],[Transaction Date]],"dddd")</f>
        <v>Thursday</v>
      </c>
      <c r="C952" s="12">
        <v>45498</v>
      </c>
      <c r="D952" s="4">
        <v>0.80625884259259262</v>
      </c>
      <c r="E9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52" t="s">
        <v>7</v>
      </c>
      <c r="G952" s="2">
        <v>32.82</v>
      </c>
    </row>
    <row r="953" spans="1:7" x14ac:dyDescent="0.25">
      <c r="A9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240725-LAT001</v>
      </c>
      <c r="B953" s="1" t="str">
        <f>TEXT(Coffee_sales_clean[[#This Row],[Transaction Date]],"dddd")</f>
        <v>Thursday</v>
      </c>
      <c r="C953" s="12">
        <v>45498</v>
      </c>
      <c r="D953" s="4">
        <v>0.87918138888888886</v>
      </c>
      <c r="E9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53" t="s">
        <v>5</v>
      </c>
      <c r="G953" s="2">
        <v>23.02</v>
      </c>
    </row>
    <row r="954" spans="1:7" x14ac:dyDescent="0.25">
      <c r="A9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240725-LAT002</v>
      </c>
      <c r="B954" s="1" t="str">
        <f>TEXT(Coffee_sales_clean[[#This Row],[Transaction Date]],"dddd")</f>
        <v>Thursday</v>
      </c>
      <c r="C954" s="12">
        <v>45498</v>
      </c>
      <c r="D954" s="4">
        <v>0.87974539351851855</v>
      </c>
      <c r="E9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54" t="s">
        <v>6</v>
      </c>
      <c r="G954" s="2">
        <v>18.12</v>
      </c>
    </row>
    <row r="955" spans="1:7" x14ac:dyDescent="0.25">
      <c r="A9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240725-LAT003</v>
      </c>
      <c r="B955" s="1" t="str">
        <f>TEXT(Coffee_sales_clean[[#This Row],[Transaction Date]],"dddd")</f>
        <v>Thursday</v>
      </c>
      <c r="C955" s="12">
        <v>45498</v>
      </c>
      <c r="D955" s="4">
        <v>0.94364965277777779</v>
      </c>
      <c r="E9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55" t="s">
        <v>5</v>
      </c>
      <c r="G955" s="2">
        <v>23.02</v>
      </c>
    </row>
    <row r="956" spans="1:7" x14ac:dyDescent="0.25">
      <c r="A9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240725-LAT004</v>
      </c>
      <c r="B956" s="1" t="str">
        <f>TEXT(Coffee_sales_clean[[#This Row],[Transaction Date]],"dddd")</f>
        <v>Thursday</v>
      </c>
      <c r="C956" s="12">
        <v>45498</v>
      </c>
      <c r="D956" s="4">
        <v>0.94429155092592587</v>
      </c>
      <c r="E9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56" t="s">
        <v>4</v>
      </c>
      <c r="G956" s="2">
        <v>32.82</v>
      </c>
    </row>
    <row r="957" spans="1:7" x14ac:dyDescent="0.25">
      <c r="A9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240726-MOR001</v>
      </c>
      <c r="B957" s="1" t="str">
        <f>TEXT(Coffee_sales_clean[[#This Row],[Transaction Date]],"dddd")</f>
        <v>Friday</v>
      </c>
      <c r="C957" s="12">
        <v>45499</v>
      </c>
      <c r="D957" s="4">
        <v>0.35626473379629631</v>
      </c>
      <c r="E9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57" t="s">
        <v>0</v>
      </c>
      <c r="G957" s="2">
        <v>32.82</v>
      </c>
    </row>
    <row r="958" spans="1:7" x14ac:dyDescent="0.25">
      <c r="A9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240726-MOR002</v>
      </c>
      <c r="B958" s="1" t="str">
        <f>TEXT(Coffee_sales_clean[[#This Row],[Transaction Date]],"dddd")</f>
        <v>Friday</v>
      </c>
      <c r="C958" s="12">
        <v>45499</v>
      </c>
      <c r="D958" s="4">
        <v>0.38862703703703705</v>
      </c>
      <c r="E9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58" t="s">
        <v>3</v>
      </c>
      <c r="G958" s="2">
        <v>27.92</v>
      </c>
    </row>
    <row r="959" spans="1:7" x14ac:dyDescent="0.25">
      <c r="A9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240726-MOR003</v>
      </c>
      <c r="B959" s="1" t="str">
        <f>TEXT(Coffee_sales_clean[[#This Row],[Transaction Date]],"dddd")</f>
        <v>Friday</v>
      </c>
      <c r="C959" s="12">
        <v>45499</v>
      </c>
      <c r="D959" s="4">
        <v>0.38928638888888889</v>
      </c>
      <c r="E9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59" t="s">
        <v>6</v>
      </c>
      <c r="G959" s="2">
        <v>18.12</v>
      </c>
    </row>
    <row r="960" spans="1:7" x14ac:dyDescent="0.25">
      <c r="A9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240726-MOR004</v>
      </c>
      <c r="B960" s="1" t="str">
        <f>TEXT(Coffee_sales_clean[[#This Row],[Transaction Date]],"dddd")</f>
        <v>Friday</v>
      </c>
      <c r="C960" s="12">
        <v>45499</v>
      </c>
      <c r="D960" s="4">
        <v>0.39804989583333333</v>
      </c>
      <c r="E9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60" t="s">
        <v>5</v>
      </c>
      <c r="G960" s="2">
        <v>23.02</v>
      </c>
    </row>
    <row r="961" spans="1:7" x14ac:dyDescent="0.25">
      <c r="A9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240726-MOR005</v>
      </c>
      <c r="B961" s="1" t="str">
        <f>TEXT(Coffee_sales_clean[[#This Row],[Transaction Date]],"dddd")</f>
        <v>Friday</v>
      </c>
      <c r="C961" s="12">
        <v>45499</v>
      </c>
      <c r="D961" s="4">
        <v>0.39880362268518521</v>
      </c>
      <c r="E9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61" t="s">
        <v>5</v>
      </c>
      <c r="G961" s="2">
        <v>23.02</v>
      </c>
    </row>
    <row r="962" spans="1:7" x14ac:dyDescent="0.25">
      <c r="A9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240726-MOR006</v>
      </c>
      <c r="B962" s="1" t="str">
        <f>TEXT(Coffee_sales_clean[[#This Row],[Transaction Date]],"dddd")</f>
        <v>Friday</v>
      </c>
      <c r="C962" s="12">
        <v>45499</v>
      </c>
      <c r="D962" s="4">
        <v>0.41606327546296296</v>
      </c>
      <c r="E9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62" t="s">
        <v>0</v>
      </c>
      <c r="G962" s="2">
        <v>32.82</v>
      </c>
    </row>
    <row r="963" spans="1:7" x14ac:dyDescent="0.25">
      <c r="A9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240726-MOR007</v>
      </c>
      <c r="B963" s="1" t="str">
        <f>TEXT(Coffee_sales_clean[[#This Row],[Transaction Date]],"dddd")</f>
        <v>Friday</v>
      </c>
      <c r="C963" s="12">
        <v>45499</v>
      </c>
      <c r="D963" s="4">
        <v>0.41669813657407406</v>
      </c>
      <c r="E9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63" t="s">
        <v>0</v>
      </c>
      <c r="G963" s="2">
        <v>32.82</v>
      </c>
    </row>
    <row r="964" spans="1:7" x14ac:dyDescent="0.25">
      <c r="A9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240726-LUN001</v>
      </c>
      <c r="B964" s="1" t="str">
        <f>TEXT(Coffee_sales_clean[[#This Row],[Transaction Date]],"dddd")</f>
        <v>Friday</v>
      </c>
      <c r="C964" s="12">
        <v>45499</v>
      </c>
      <c r="D964" s="4">
        <v>0.49113258101851853</v>
      </c>
      <c r="E9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64" t="s">
        <v>3</v>
      </c>
      <c r="G964" s="2">
        <v>27.92</v>
      </c>
    </row>
    <row r="965" spans="1:7" x14ac:dyDescent="0.25">
      <c r="A9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240726-LUN002</v>
      </c>
      <c r="B965" s="1" t="str">
        <f>TEXT(Coffee_sales_clean[[#This Row],[Transaction Date]],"dddd")</f>
        <v>Friday</v>
      </c>
      <c r="C965" s="12">
        <v>45499</v>
      </c>
      <c r="D965" s="4">
        <v>0.50488043981481479</v>
      </c>
      <c r="E9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65" t="s">
        <v>3</v>
      </c>
      <c r="G965" s="2">
        <v>27.92</v>
      </c>
    </row>
    <row r="966" spans="1:7" x14ac:dyDescent="0.25">
      <c r="A9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240726-LUN003</v>
      </c>
      <c r="B966" s="1" t="str">
        <f>TEXT(Coffee_sales_clean[[#This Row],[Transaction Date]],"dddd")</f>
        <v>Friday</v>
      </c>
      <c r="C966" s="12">
        <v>45499</v>
      </c>
      <c r="D966" s="4">
        <v>0.51953754629629634</v>
      </c>
      <c r="E9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66" t="s">
        <v>7</v>
      </c>
      <c r="G966" s="2">
        <v>32.82</v>
      </c>
    </row>
    <row r="967" spans="1:7" x14ac:dyDescent="0.25">
      <c r="A9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240726-LUN004</v>
      </c>
      <c r="B967" s="1" t="str">
        <f>TEXT(Coffee_sales_clean[[#This Row],[Transaction Date]],"dddd")</f>
        <v>Friday</v>
      </c>
      <c r="C967" s="12">
        <v>45499</v>
      </c>
      <c r="D967" s="4">
        <v>0.52034384259259259</v>
      </c>
      <c r="E9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67" t="s">
        <v>7</v>
      </c>
      <c r="G967" s="2">
        <v>32.82</v>
      </c>
    </row>
    <row r="968" spans="1:7" x14ac:dyDescent="0.25">
      <c r="A9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240726-LUN005</v>
      </c>
      <c r="B968" s="1" t="str">
        <f>TEXT(Coffee_sales_clean[[#This Row],[Transaction Date]],"dddd")</f>
        <v>Friday</v>
      </c>
      <c r="C968" s="12">
        <v>45499</v>
      </c>
      <c r="D968" s="4">
        <v>0.54856641203703704</v>
      </c>
      <c r="E9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68" t="s">
        <v>0</v>
      </c>
      <c r="G968" s="2">
        <v>32.82</v>
      </c>
    </row>
    <row r="969" spans="1:7" x14ac:dyDescent="0.25">
      <c r="A9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240726-EVE001</v>
      </c>
      <c r="B969" s="1" t="str">
        <f>TEXT(Coffee_sales_clean[[#This Row],[Transaction Date]],"dddd")</f>
        <v>Friday</v>
      </c>
      <c r="C969" s="12">
        <v>45499</v>
      </c>
      <c r="D969" s="4">
        <v>0.72464521990740738</v>
      </c>
      <c r="E9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69" t="s">
        <v>2</v>
      </c>
      <c r="G969" s="2">
        <v>23.02</v>
      </c>
    </row>
    <row r="970" spans="1:7" x14ac:dyDescent="0.25">
      <c r="A9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240726-EVE002</v>
      </c>
      <c r="B970" s="1" t="str">
        <f>TEXT(Coffee_sales_clean[[#This Row],[Transaction Date]],"dddd")</f>
        <v>Friday</v>
      </c>
      <c r="C970" s="12">
        <v>45499</v>
      </c>
      <c r="D970" s="4">
        <v>0.74894927083333329</v>
      </c>
      <c r="E9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70" t="s">
        <v>7</v>
      </c>
      <c r="G970" s="2">
        <v>32.82</v>
      </c>
    </row>
    <row r="971" spans="1:7" x14ac:dyDescent="0.25">
      <c r="A9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240726-LAT001</v>
      </c>
      <c r="B971" s="1" t="str">
        <f>TEXT(Coffee_sales_clean[[#This Row],[Transaction Date]],"dddd")</f>
        <v>Friday</v>
      </c>
      <c r="C971" s="12">
        <v>45499</v>
      </c>
      <c r="D971" s="4">
        <v>0.88552791666666664</v>
      </c>
      <c r="E9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71" t="s">
        <v>0</v>
      </c>
      <c r="G971" s="2">
        <v>32.82</v>
      </c>
    </row>
    <row r="972" spans="1:7" x14ac:dyDescent="0.25">
      <c r="A9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240726-LAT002</v>
      </c>
      <c r="B972" s="1" t="str">
        <f>TEXT(Coffee_sales_clean[[#This Row],[Transaction Date]],"dddd")</f>
        <v>Friday</v>
      </c>
      <c r="C972" s="12">
        <v>45499</v>
      </c>
      <c r="D972" s="4">
        <v>0.95129997685185186</v>
      </c>
      <c r="E9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72" t="s">
        <v>3</v>
      </c>
      <c r="G972" s="2">
        <v>27.92</v>
      </c>
    </row>
    <row r="973" spans="1:7" x14ac:dyDescent="0.25">
      <c r="A9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240727-MOR001</v>
      </c>
      <c r="B973" s="1" t="str">
        <f>TEXT(Coffee_sales_clean[[#This Row],[Transaction Date]],"dddd")</f>
        <v>Saturday</v>
      </c>
      <c r="C973" s="12">
        <v>45500</v>
      </c>
      <c r="D973" s="4">
        <v>0.38144047453703706</v>
      </c>
      <c r="E9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73" t="s">
        <v>7</v>
      </c>
      <c r="G973" s="2">
        <v>32.82</v>
      </c>
    </row>
    <row r="974" spans="1:7" x14ac:dyDescent="0.25">
      <c r="A9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240727-LUN001</v>
      </c>
      <c r="B974" s="1" t="str">
        <f>TEXT(Coffee_sales_clean[[#This Row],[Transaction Date]],"dddd")</f>
        <v>Saturday</v>
      </c>
      <c r="C974" s="12">
        <v>45500</v>
      </c>
      <c r="D974" s="4">
        <v>0.49689098379629631</v>
      </c>
      <c r="E9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74" t="s">
        <v>3</v>
      </c>
      <c r="G974" s="2">
        <v>27.92</v>
      </c>
    </row>
    <row r="975" spans="1:7" x14ac:dyDescent="0.25">
      <c r="A9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240727-LUN002</v>
      </c>
      <c r="B975" s="1" t="str">
        <f>TEXT(Coffee_sales_clean[[#This Row],[Transaction Date]],"dddd")</f>
        <v>Saturday</v>
      </c>
      <c r="C975" s="12">
        <v>45500</v>
      </c>
      <c r="D975" s="4">
        <v>0.5174781828703704</v>
      </c>
      <c r="E9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75" t="s">
        <v>3</v>
      </c>
      <c r="G975" s="2">
        <v>27.92</v>
      </c>
    </row>
    <row r="976" spans="1:7" x14ac:dyDescent="0.25">
      <c r="A9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240727-LUN003</v>
      </c>
      <c r="B976" s="1" t="str">
        <f>TEXT(Coffee_sales_clean[[#This Row],[Transaction Date]],"dddd")</f>
        <v>Saturday</v>
      </c>
      <c r="C976" s="12">
        <v>45500</v>
      </c>
      <c r="D976" s="4">
        <v>0.51820785879629627</v>
      </c>
      <c r="E9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76" t="s">
        <v>6</v>
      </c>
      <c r="G976" s="2">
        <v>18.12</v>
      </c>
    </row>
    <row r="977" spans="1:7" x14ac:dyDescent="0.25">
      <c r="A9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240727-LUN004</v>
      </c>
      <c r="B977" s="1" t="str">
        <f>TEXT(Coffee_sales_clean[[#This Row],[Transaction Date]],"dddd")</f>
        <v>Saturday</v>
      </c>
      <c r="C977" s="12">
        <v>45500</v>
      </c>
      <c r="D977" s="4">
        <v>0.52318368055555553</v>
      </c>
      <c r="E9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77" t="s">
        <v>3</v>
      </c>
      <c r="G977" s="2">
        <v>27.92</v>
      </c>
    </row>
    <row r="978" spans="1:7" x14ac:dyDescent="0.25">
      <c r="A9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240727-AFT001</v>
      </c>
      <c r="B978" s="1" t="str">
        <f>TEXT(Coffee_sales_clean[[#This Row],[Transaction Date]],"dddd")</f>
        <v>Saturday</v>
      </c>
      <c r="C978" s="12">
        <v>45500</v>
      </c>
      <c r="D978" s="4">
        <v>0.60326277777777781</v>
      </c>
      <c r="E9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78" t="s">
        <v>6</v>
      </c>
      <c r="G978" s="2">
        <v>18.12</v>
      </c>
    </row>
    <row r="979" spans="1:7" x14ac:dyDescent="0.25">
      <c r="A9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240727-AFT002</v>
      </c>
      <c r="B979" s="1" t="str">
        <f>TEXT(Coffee_sales_clean[[#This Row],[Transaction Date]],"dddd")</f>
        <v>Saturday</v>
      </c>
      <c r="C979" s="12">
        <v>45500</v>
      </c>
      <c r="D979" s="4">
        <v>0.61936569444444445</v>
      </c>
      <c r="E9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79" t="s">
        <v>0</v>
      </c>
      <c r="G979" s="2">
        <v>32.82</v>
      </c>
    </row>
    <row r="980" spans="1:7" x14ac:dyDescent="0.25">
      <c r="A9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240727-EVE001</v>
      </c>
      <c r="B980" s="1" t="str">
        <f>TEXT(Coffee_sales_clean[[#This Row],[Transaction Date]],"dddd")</f>
        <v>Saturday</v>
      </c>
      <c r="C980" s="12">
        <v>45500</v>
      </c>
      <c r="D980" s="4">
        <v>0.71010831018518517</v>
      </c>
      <c r="E9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80" t="s">
        <v>7</v>
      </c>
      <c r="G980" s="2">
        <v>32.82</v>
      </c>
    </row>
    <row r="981" spans="1:7" x14ac:dyDescent="0.25">
      <c r="A9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240727-EVE002</v>
      </c>
      <c r="B981" s="1" t="str">
        <f>TEXT(Coffee_sales_clean[[#This Row],[Transaction Date]],"dddd")</f>
        <v>Saturday</v>
      </c>
      <c r="C981" s="12">
        <v>45500</v>
      </c>
      <c r="D981" s="4">
        <v>0.71086935185185185</v>
      </c>
      <c r="E9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81" t="s">
        <v>7</v>
      </c>
      <c r="G981" s="2">
        <v>32.82</v>
      </c>
    </row>
    <row r="982" spans="1:7" x14ac:dyDescent="0.25">
      <c r="A9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240727-EVE003</v>
      </c>
      <c r="B982" s="1" t="str">
        <f>TEXT(Coffee_sales_clean[[#This Row],[Transaction Date]],"dddd")</f>
        <v>Saturday</v>
      </c>
      <c r="C982" s="12">
        <v>45500</v>
      </c>
      <c r="D982" s="4">
        <v>0.71458824074074079</v>
      </c>
      <c r="E9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82" t="s">
        <v>3</v>
      </c>
      <c r="G982" s="2">
        <v>27.92</v>
      </c>
    </row>
    <row r="983" spans="1:7" x14ac:dyDescent="0.25">
      <c r="A9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240727-EVE004</v>
      </c>
      <c r="B983" s="1" t="str">
        <f>TEXT(Coffee_sales_clean[[#This Row],[Transaction Date]],"dddd")</f>
        <v>Saturday</v>
      </c>
      <c r="C983" s="12">
        <v>45500</v>
      </c>
      <c r="D983" s="4">
        <v>0.71537122685185184</v>
      </c>
      <c r="E9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83" t="s">
        <v>3</v>
      </c>
      <c r="G983" s="2">
        <v>27.92</v>
      </c>
    </row>
    <row r="984" spans="1:7" x14ac:dyDescent="0.25">
      <c r="A9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240727-LAT001</v>
      </c>
      <c r="B984" s="1" t="str">
        <f>TEXT(Coffee_sales_clean[[#This Row],[Transaction Date]],"dddd")</f>
        <v>Saturday</v>
      </c>
      <c r="C984" s="12">
        <v>45500</v>
      </c>
      <c r="D984" s="4">
        <v>0.87176128472222225</v>
      </c>
      <c r="E9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84" t="s">
        <v>0</v>
      </c>
      <c r="G984" s="2">
        <v>32.82</v>
      </c>
    </row>
    <row r="985" spans="1:7" x14ac:dyDescent="0.25">
      <c r="A9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240727-LAT002</v>
      </c>
      <c r="B985" s="1" t="str">
        <f>TEXT(Coffee_sales_clean[[#This Row],[Transaction Date]],"dddd")</f>
        <v>Saturday</v>
      </c>
      <c r="C985" s="12">
        <v>45500</v>
      </c>
      <c r="D985" s="4">
        <v>0.955832349537037</v>
      </c>
      <c r="E9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85" t="s">
        <v>7</v>
      </c>
      <c r="G985" s="2">
        <v>32.82</v>
      </c>
    </row>
    <row r="986" spans="1:7" x14ac:dyDescent="0.25">
      <c r="A9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240728-LUN001</v>
      </c>
      <c r="B986" s="1" t="str">
        <f>TEXT(Coffee_sales_clean[[#This Row],[Transaction Date]],"dddd")</f>
        <v>Sunday</v>
      </c>
      <c r="C986" s="12">
        <v>45501</v>
      </c>
      <c r="D986" s="4">
        <v>0.46349444444444443</v>
      </c>
      <c r="E9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986" t="s">
        <v>6</v>
      </c>
      <c r="G986" s="2">
        <v>18.12</v>
      </c>
    </row>
    <row r="987" spans="1:7" x14ac:dyDescent="0.25">
      <c r="A9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240728-AFT001</v>
      </c>
      <c r="B987" s="1" t="str">
        <f>TEXT(Coffee_sales_clean[[#This Row],[Transaction Date]],"dddd")</f>
        <v>Sunday</v>
      </c>
      <c r="C987" s="12">
        <v>45501</v>
      </c>
      <c r="D987" s="4">
        <v>0.59576626157407409</v>
      </c>
      <c r="E9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87" t="s">
        <v>3</v>
      </c>
      <c r="G987" s="2">
        <v>27.92</v>
      </c>
    </row>
    <row r="988" spans="1:7" x14ac:dyDescent="0.25">
      <c r="A9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240728-AFT002</v>
      </c>
      <c r="B988" s="1" t="str">
        <f>TEXT(Coffee_sales_clean[[#This Row],[Transaction Date]],"dddd")</f>
        <v>Sunday</v>
      </c>
      <c r="C988" s="12">
        <v>45501</v>
      </c>
      <c r="D988" s="4">
        <v>0.59643745370370371</v>
      </c>
      <c r="E9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988" t="s">
        <v>0</v>
      </c>
      <c r="G988" s="2">
        <v>32.82</v>
      </c>
    </row>
    <row r="989" spans="1:7" x14ac:dyDescent="0.25">
      <c r="A9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240729-MOR001</v>
      </c>
      <c r="B989" s="1" t="str">
        <f>TEXT(Coffee_sales_clean[[#This Row],[Transaction Date]],"dddd")</f>
        <v>Monday</v>
      </c>
      <c r="C989" s="12">
        <v>45502</v>
      </c>
      <c r="D989" s="4">
        <v>0.34174081018518521</v>
      </c>
      <c r="E9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89" t="s">
        <v>0</v>
      </c>
      <c r="G989" s="2">
        <v>32.82</v>
      </c>
    </row>
    <row r="990" spans="1:7" x14ac:dyDescent="0.25">
      <c r="A9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240729-MOR002</v>
      </c>
      <c r="B990" s="1" t="str">
        <f>TEXT(Coffee_sales_clean[[#This Row],[Transaction Date]],"dddd")</f>
        <v>Monday</v>
      </c>
      <c r="C990" s="12">
        <v>45502</v>
      </c>
      <c r="D990" s="4">
        <v>0.37833300925925928</v>
      </c>
      <c r="E9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90" t="s">
        <v>2</v>
      </c>
      <c r="G990" s="2">
        <v>23.02</v>
      </c>
    </row>
    <row r="991" spans="1:7" x14ac:dyDescent="0.25">
      <c r="A9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240729-MOR003</v>
      </c>
      <c r="B991" s="1" t="str">
        <f>TEXT(Coffee_sales_clean[[#This Row],[Transaction Date]],"dddd")</f>
        <v>Monday</v>
      </c>
      <c r="C991" s="12">
        <v>45502</v>
      </c>
      <c r="D991" s="4">
        <v>0.38595086805555556</v>
      </c>
      <c r="E9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91" t="s">
        <v>3</v>
      </c>
      <c r="G991" s="2">
        <v>27.92</v>
      </c>
    </row>
    <row r="992" spans="1:7" x14ac:dyDescent="0.25">
      <c r="A9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240729-MOR004</v>
      </c>
      <c r="B992" s="1" t="str">
        <f>TEXT(Coffee_sales_clean[[#This Row],[Transaction Date]],"dddd")</f>
        <v>Monday</v>
      </c>
      <c r="C992" s="12">
        <v>45502</v>
      </c>
      <c r="D992" s="4">
        <v>0.38870465277777777</v>
      </c>
      <c r="E9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92" t="s">
        <v>2</v>
      </c>
      <c r="G992" s="2">
        <v>23.02</v>
      </c>
    </row>
    <row r="993" spans="1:7" x14ac:dyDescent="0.25">
      <c r="A9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240729-MOR005</v>
      </c>
      <c r="B993" s="1" t="str">
        <f>TEXT(Coffee_sales_clean[[#This Row],[Transaction Date]],"dddd")</f>
        <v>Monday</v>
      </c>
      <c r="C993" s="12">
        <v>45502</v>
      </c>
      <c r="D993" s="4">
        <v>0.41070309027777779</v>
      </c>
      <c r="E9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93" t="s">
        <v>3</v>
      </c>
      <c r="G993" s="2">
        <v>27.92</v>
      </c>
    </row>
    <row r="994" spans="1:7" x14ac:dyDescent="0.25">
      <c r="A9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240729-MOR006</v>
      </c>
      <c r="B994" s="1" t="str">
        <f>TEXT(Coffee_sales_clean[[#This Row],[Transaction Date]],"dddd")</f>
        <v>Monday</v>
      </c>
      <c r="C994" s="12">
        <v>45502</v>
      </c>
      <c r="D994" s="4">
        <v>0.41562082175925924</v>
      </c>
      <c r="E9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94" t="s">
        <v>7</v>
      </c>
      <c r="G994" s="2">
        <v>32.82</v>
      </c>
    </row>
    <row r="995" spans="1:7" x14ac:dyDescent="0.25">
      <c r="A9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240729-MOR007</v>
      </c>
      <c r="B995" s="1" t="str">
        <f>TEXT(Coffee_sales_clean[[#This Row],[Transaction Date]],"dddd")</f>
        <v>Monday</v>
      </c>
      <c r="C995" s="12">
        <v>45502</v>
      </c>
      <c r="D995" s="4">
        <v>0.44703658564814813</v>
      </c>
      <c r="E9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95" t="s">
        <v>1</v>
      </c>
      <c r="G995" s="2">
        <v>32.82</v>
      </c>
    </row>
    <row r="996" spans="1:7" x14ac:dyDescent="0.25">
      <c r="A9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240729-MOR008</v>
      </c>
      <c r="B996" s="1" t="str">
        <f>TEXT(Coffee_sales_clean[[#This Row],[Transaction Date]],"dddd")</f>
        <v>Monday</v>
      </c>
      <c r="C996" s="12">
        <v>45502</v>
      </c>
      <c r="D996" s="4">
        <v>0.44786858796296297</v>
      </c>
      <c r="E9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996" t="s">
        <v>1</v>
      </c>
      <c r="G996" s="2">
        <v>32.82</v>
      </c>
    </row>
    <row r="997" spans="1:7" x14ac:dyDescent="0.25">
      <c r="A9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240729-EVE001</v>
      </c>
      <c r="B997" s="1" t="str">
        <f>TEXT(Coffee_sales_clean[[#This Row],[Transaction Date]],"dddd")</f>
        <v>Monday</v>
      </c>
      <c r="C997" s="12">
        <v>45502</v>
      </c>
      <c r="D997" s="4">
        <v>0.7961936458333333</v>
      </c>
      <c r="E9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97" t="s">
        <v>7</v>
      </c>
      <c r="G997" s="2">
        <v>32.82</v>
      </c>
    </row>
    <row r="998" spans="1:7" x14ac:dyDescent="0.25">
      <c r="A9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240729-EVE002</v>
      </c>
      <c r="B998" s="1" t="str">
        <f>TEXT(Coffee_sales_clean[[#This Row],[Transaction Date]],"dddd")</f>
        <v>Monday</v>
      </c>
      <c r="C998" s="12">
        <v>45502</v>
      </c>
      <c r="D998" s="4">
        <v>0.81268887731481476</v>
      </c>
      <c r="E9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998" t="s">
        <v>2</v>
      </c>
      <c r="G998" s="2">
        <v>23.02</v>
      </c>
    </row>
    <row r="999" spans="1:7" x14ac:dyDescent="0.25">
      <c r="A9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240729-LAT001</v>
      </c>
      <c r="B999" s="1" t="str">
        <f>TEXT(Coffee_sales_clean[[#This Row],[Transaction Date]],"dddd")</f>
        <v>Monday</v>
      </c>
      <c r="C999" s="12">
        <v>45502</v>
      </c>
      <c r="D999" s="4">
        <v>0.9149817013888889</v>
      </c>
      <c r="E9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999" t="s">
        <v>4</v>
      </c>
      <c r="G999" s="2">
        <v>32.82</v>
      </c>
    </row>
    <row r="1000" spans="1:7" x14ac:dyDescent="0.25">
      <c r="A10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240730-MOR001</v>
      </c>
      <c r="B1000" s="1" t="str">
        <f>TEXT(Coffee_sales_clean[[#This Row],[Transaction Date]],"dddd")</f>
        <v>Tuesday</v>
      </c>
      <c r="C1000" s="12">
        <v>45503</v>
      </c>
      <c r="D1000" s="4">
        <v>0.32026556712962961</v>
      </c>
      <c r="E10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00" t="s">
        <v>3</v>
      </c>
      <c r="G1000" s="2">
        <v>27.92</v>
      </c>
    </row>
    <row r="1001" spans="1:7" x14ac:dyDescent="0.25">
      <c r="A10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240730-MOR002</v>
      </c>
      <c r="B1001" s="1" t="str">
        <f>TEXT(Coffee_sales_clean[[#This Row],[Transaction Date]],"dddd")</f>
        <v>Tuesday</v>
      </c>
      <c r="C1001" s="12">
        <v>45503</v>
      </c>
      <c r="D1001" s="4">
        <v>0.33688907407407409</v>
      </c>
      <c r="E10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01" t="s">
        <v>5</v>
      </c>
      <c r="G1001" s="2">
        <v>23.02</v>
      </c>
    </row>
    <row r="1002" spans="1:7" x14ac:dyDescent="0.25">
      <c r="A10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240730-MOR003</v>
      </c>
      <c r="B1002" s="1" t="str">
        <f>TEXT(Coffee_sales_clean[[#This Row],[Transaction Date]],"dddd")</f>
        <v>Tuesday</v>
      </c>
      <c r="C1002" s="12">
        <v>45503</v>
      </c>
      <c r="D1002" s="4">
        <v>0.34781383101851854</v>
      </c>
      <c r="E10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02" t="s">
        <v>7</v>
      </c>
      <c r="G1002" s="2">
        <v>32.82</v>
      </c>
    </row>
    <row r="1003" spans="1:7" x14ac:dyDescent="0.25">
      <c r="A10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240730-MOR004</v>
      </c>
      <c r="B1003" s="1" t="str">
        <f>TEXT(Coffee_sales_clean[[#This Row],[Transaction Date]],"dddd")</f>
        <v>Tuesday</v>
      </c>
      <c r="C1003" s="12">
        <v>45503</v>
      </c>
      <c r="D1003" s="4">
        <v>0.38452797453703702</v>
      </c>
      <c r="E10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03" t="s">
        <v>3</v>
      </c>
      <c r="G1003" s="2">
        <v>27.92</v>
      </c>
    </row>
    <row r="1004" spans="1:7" x14ac:dyDescent="0.25">
      <c r="A10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240730-MOR005</v>
      </c>
      <c r="B1004" s="1" t="str">
        <f>TEXT(Coffee_sales_clean[[#This Row],[Transaction Date]],"dddd")</f>
        <v>Tuesday</v>
      </c>
      <c r="C1004" s="12">
        <v>45503</v>
      </c>
      <c r="D1004" s="4">
        <v>0.4286012384259259</v>
      </c>
      <c r="E10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04" t="s">
        <v>5</v>
      </c>
      <c r="G1004" s="2">
        <v>23.02</v>
      </c>
    </row>
    <row r="1005" spans="1:7" x14ac:dyDescent="0.25">
      <c r="A10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240730-MOR006</v>
      </c>
      <c r="B1005" s="1" t="str">
        <f>TEXT(Coffee_sales_clean[[#This Row],[Transaction Date]],"dddd")</f>
        <v>Tuesday</v>
      </c>
      <c r="C1005" s="12">
        <v>45503</v>
      </c>
      <c r="D1005" s="4">
        <v>0.43025709490740743</v>
      </c>
      <c r="E10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05" t="s">
        <v>3</v>
      </c>
      <c r="G1005" s="2">
        <v>27.92</v>
      </c>
    </row>
    <row r="1006" spans="1:7" x14ac:dyDescent="0.25">
      <c r="A10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240730-MOR007</v>
      </c>
      <c r="B1006" s="1" t="str">
        <f>TEXT(Coffee_sales_clean[[#This Row],[Transaction Date]],"dddd")</f>
        <v>Tuesday</v>
      </c>
      <c r="C1006" s="12">
        <v>45503</v>
      </c>
      <c r="D1006" s="4">
        <v>0.43287175925925925</v>
      </c>
      <c r="E10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06" t="s">
        <v>0</v>
      </c>
      <c r="G1006" s="2">
        <v>32.82</v>
      </c>
    </row>
    <row r="1007" spans="1:7" x14ac:dyDescent="0.25">
      <c r="A10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240730-LUN001</v>
      </c>
      <c r="B1007" s="1" t="str">
        <f>TEXT(Coffee_sales_clean[[#This Row],[Transaction Date]],"dddd")</f>
        <v>Tuesday</v>
      </c>
      <c r="C1007" s="12">
        <v>45503</v>
      </c>
      <c r="D1007" s="4">
        <v>0.46675184027777777</v>
      </c>
      <c r="E10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07" t="s">
        <v>2</v>
      </c>
      <c r="G1007" s="2">
        <v>23.02</v>
      </c>
    </row>
    <row r="1008" spans="1:7" x14ac:dyDescent="0.25">
      <c r="A10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240730-LUN002</v>
      </c>
      <c r="B1008" s="1" t="str">
        <f>TEXT(Coffee_sales_clean[[#This Row],[Transaction Date]],"dddd")</f>
        <v>Tuesday</v>
      </c>
      <c r="C1008" s="12">
        <v>45503</v>
      </c>
      <c r="D1008" s="4">
        <v>0.46754881944444443</v>
      </c>
      <c r="E10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08" t="s">
        <v>6</v>
      </c>
      <c r="G1008" s="2">
        <v>18.12</v>
      </c>
    </row>
    <row r="1009" spans="1:7" x14ac:dyDescent="0.25">
      <c r="A10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240730-LUN003</v>
      </c>
      <c r="B1009" s="1" t="str">
        <f>TEXT(Coffee_sales_clean[[#This Row],[Transaction Date]],"dddd")</f>
        <v>Tuesday</v>
      </c>
      <c r="C1009" s="12">
        <v>45503</v>
      </c>
      <c r="D1009" s="4">
        <v>0.46853793981481484</v>
      </c>
      <c r="E10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09" t="s">
        <v>3</v>
      </c>
      <c r="G1009" s="2">
        <v>27.92</v>
      </c>
    </row>
    <row r="1010" spans="1:7" x14ac:dyDescent="0.25">
      <c r="A10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240730-LUN004</v>
      </c>
      <c r="B1010" s="1" t="str">
        <f>TEXT(Coffee_sales_clean[[#This Row],[Transaction Date]],"dddd")</f>
        <v>Tuesday</v>
      </c>
      <c r="C1010" s="12">
        <v>45503</v>
      </c>
      <c r="D1010" s="4">
        <v>0.46946331018518517</v>
      </c>
      <c r="E10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10" t="s">
        <v>3</v>
      </c>
      <c r="G1010" s="2">
        <v>27.92</v>
      </c>
    </row>
    <row r="1011" spans="1:7" x14ac:dyDescent="0.25">
      <c r="A10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240730-LUN005</v>
      </c>
      <c r="B1011" s="1" t="str">
        <f>TEXT(Coffee_sales_clean[[#This Row],[Transaction Date]],"dddd")</f>
        <v>Tuesday</v>
      </c>
      <c r="C1011" s="12">
        <v>45503</v>
      </c>
      <c r="D1011" s="4">
        <v>0.47956871527777778</v>
      </c>
      <c r="E10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11" t="s">
        <v>3</v>
      </c>
      <c r="G1011" s="2">
        <v>27.92</v>
      </c>
    </row>
    <row r="1012" spans="1:7" x14ac:dyDescent="0.25">
      <c r="A10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240730-LUN006</v>
      </c>
      <c r="B1012" s="1" t="str">
        <f>TEXT(Coffee_sales_clean[[#This Row],[Transaction Date]],"dddd")</f>
        <v>Tuesday</v>
      </c>
      <c r="C1012" s="12">
        <v>45503</v>
      </c>
      <c r="D1012" s="4">
        <v>0.48033343750000002</v>
      </c>
      <c r="E10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12" t="s">
        <v>3</v>
      </c>
      <c r="G1012" s="2">
        <v>27.92</v>
      </c>
    </row>
    <row r="1013" spans="1:7" x14ac:dyDescent="0.25">
      <c r="A10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240730-LUN007</v>
      </c>
      <c r="B1013" s="1" t="str">
        <f>TEXT(Coffee_sales_clean[[#This Row],[Transaction Date]],"dddd")</f>
        <v>Tuesday</v>
      </c>
      <c r="C1013" s="12">
        <v>45503</v>
      </c>
      <c r="D1013" s="4">
        <v>0.50564245370370375</v>
      </c>
      <c r="E10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13" t="s">
        <v>0</v>
      </c>
      <c r="G1013" s="2">
        <v>32.82</v>
      </c>
    </row>
    <row r="1014" spans="1:7" x14ac:dyDescent="0.25">
      <c r="A10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240730-AFT001</v>
      </c>
      <c r="B1014" s="1" t="str">
        <f>TEXT(Coffee_sales_clean[[#This Row],[Transaction Date]],"dddd")</f>
        <v>Tuesday</v>
      </c>
      <c r="C1014" s="12">
        <v>45503</v>
      </c>
      <c r="D1014" s="4">
        <v>0.63622254629629627</v>
      </c>
      <c r="E10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14" t="s">
        <v>3</v>
      </c>
      <c r="G1014" s="2">
        <v>27.92</v>
      </c>
    </row>
    <row r="1015" spans="1:7" x14ac:dyDescent="0.25">
      <c r="A10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240730-AFT002</v>
      </c>
      <c r="B1015" s="1" t="str">
        <f>TEXT(Coffee_sales_clean[[#This Row],[Transaction Date]],"dddd")</f>
        <v>Tuesday</v>
      </c>
      <c r="C1015" s="12">
        <v>45503</v>
      </c>
      <c r="D1015" s="4">
        <v>0.67283421296296297</v>
      </c>
      <c r="E10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15" t="s">
        <v>5</v>
      </c>
      <c r="G1015" s="2">
        <v>23.02</v>
      </c>
    </row>
    <row r="1016" spans="1:7" x14ac:dyDescent="0.25">
      <c r="A10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240730-AFT003</v>
      </c>
      <c r="B1016" s="1" t="str">
        <f>TEXT(Coffee_sales_clean[[#This Row],[Transaction Date]],"dddd")</f>
        <v>Tuesday</v>
      </c>
      <c r="C1016" s="12">
        <v>45503</v>
      </c>
      <c r="D1016" s="4">
        <v>0.67342160879629631</v>
      </c>
      <c r="E10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16" t="s">
        <v>3</v>
      </c>
      <c r="G1016" s="2">
        <v>27.92</v>
      </c>
    </row>
    <row r="1017" spans="1:7" x14ac:dyDescent="0.25">
      <c r="A10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240730-LAT001</v>
      </c>
      <c r="B1017" s="1" t="str">
        <f>TEXT(Coffee_sales_clean[[#This Row],[Transaction Date]],"dddd")</f>
        <v>Tuesday</v>
      </c>
      <c r="C1017" s="12">
        <v>45503</v>
      </c>
      <c r="D1017" s="4">
        <v>0.85023002314814811</v>
      </c>
      <c r="E10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17" t="s">
        <v>6</v>
      </c>
      <c r="G1017" s="2">
        <v>18.12</v>
      </c>
    </row>
    <row r="1018" spans="1:7" x14ac:dyDescent="0.25">
      <c r="A10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240730-LAT002</v>
      </c>
      <c r="B1018" s="1" t="str">
        <f>TEXT(Coffee_sales_clean[[#This Row],[Transaction Date]],"dddd")</f>
        <v>Tuesday</v>
      </c>
      <c r="C1018" s="12">
        <v>45503</v>
      </c>
      <c r="D1018" s="4">
        <v>0.8707391898148148</v>
      </c>
      <c r="E10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18" t="s">
        <v>3</v>
      </c>
      <c r="G1018" s="2">
        <v>27.92</v>
      </c>
    </row>
    <row r="1019" spans="1:7" x14ac:dyDescent="0.25">
      <c r="A10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240730-LAT003</v>
      </c>
      <c r="B1019" s="1" t="str">
        <f>TEXT(Coffee_sales_clean[[#This Row],[Transaction Date]],"dddd")</f>
        <v>Tuesday</v>
      </c>
      <c r="C1019" s="12">
        <v>45503</v>
      </c>
      <c r="D1019" s="4">
        <v>0.87136939814814818</v>
      </c>
      <c r="E10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19" t="s">
        <v>3</v>
      </c>
      <c r="G1019" s="2">
        <v>27.92</v>
      </c>
    </row>
    <row r="1020" spans="1:7" x14ac:dyDescent="0.25">
      <c r="A10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240730-LAT004</v>
      </c>
      <c r="B1020" s="1" t="str">
        <f>TEXT(Coffee_sales_clean[[#This Row],[Transaction Date]],"dddd")</f>
        <v>Tuesday</v>
      </c>
      <c r="C1020" s="12">
        <v>45503</v>
      </c>
      <c r="D1020" s="4">
        <v>0.87294356481481483</v>
      </c>
      <c r="E10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20" t="s">
        <v>3</v>
      </c>
      <c r="G1020" s="2">
        <v>27.92</v>
      </c>
    </row>
    <row r="1021" spans="1:7" x14ac:dyDescent="0.25">
      <c r="A10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240730-LAT005</v>
      </c>
      <c r="B1021" s="1" t="str">
        <f>TEXT(Coffee_sales_clean[[#This Row],[Transaction Date]],"dddd")</f>
        <v>Tuesday</v>
      </c>
      <c r="C1021" s="12">
        <v>45503</v>
      </c>
      <c r="D1021" s="4">
        <v>0.89813886574074075</v>
      </c>
      <c r="E10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21" t="s">
        <v>0</v>
      </c>
      <c r="G1021" s="2">
        <v>32.82</v>
      </c>
    </row>
    <row r="1022" spans="1:7" x14ac:dyDescent="0.25">
      <c r="A10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240730-LAT006</v>
      </c>
      <c r="B1022" s="1" t="str">
        <f>TEXT(Coffee_sales_clean[[#This Row],[Transaction Date]],"dddd")</f>
        <v>Tuesday</v>
      </c>
      <c r="C1022" s="12">
        <v>45503</v>
      </c>
      <c r="D1022" s="4">
        <v>0.92733199074074069</v>
      </c>
      <c r="E10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22" t="s">
        <v>2</v>
      </c>
      <c r="G1022" s="2">
        <v>23.02</v>
      </c>
    </row>
    <row r="1023" spans="1:7" x14ac:dyDescent="0.25">
      <c r="A10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240730-LAT007</v>
      </c>
      <c r="B1023" s="1" t="str">
        <f>TEXT(Coffee_sales_clean[[#This Row],[Transaction Date]],"dddd")</f>
        <v>Tuesday</v>
      </c>
      <c r="C1023" s="12">
        <v>45503</v>
      </c>
      <c r="D1023" s="4">
        <v>0.92800069444444444</v>
      </c>
      <c r="E10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23" t="s">
        <v>7</v>
      </c>
      <c r="G1023" s="2">
        <v>32.82</v>
      </c>
    </row>
    <row r="1024" spans="1:7" x14ac:dyDescent="0.25">
      <c r="A10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240731-MOR001</v>
      </c>
      <c r="B1024" s="1" t="str">
        <f>TEXT(Coffee_sales_clean[[#This Row],[Transaction Date]],"dddd")</f>
        <v>Wednesday</v>
      </c>
      <c r="C1024" s="12">
        <v>45504</v>
      </c>
      <c r="D1024" s="4">
        <v>0.33324187500000002</v>
      </c>
      <c r="E10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24" t="s">
        <v>3</v>
      </c>
      <c r="G1024" s="2">
        <v>27.92</v>
      </c>
    </row>
    <row r="1025" spans="1:7" x14ac:dyDescent="0.25">
      <c r="A10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240731-MOR002</v>
      </c>
      <c r="B1025" s="1" t="str">
        <f>TEXT(Coffee_sales_clean[[#This Row],[Transaction Date]],"dddd")</f>
        <v>Wednesday</v>
      </c>
      <c r="C1025" s="12">
        <v>45504</v>
      </c>
      <c r="D1025" s="4">
        <v>0.35951322916666667</v>
      </c>
      <c r="E10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25" t="s">
        <v>3</v>
      </c>
      <c r="G1025" s="2">
        <v>27.92</v>
      </c>
    </row>
    <row r="1026" spans="1:7" x14ac:dyDescent="0.25">
      <c r="A10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240731-MOR003</v>
      </c>
      <c r="B1026" s="1" t="str">
        <f>TEXT(Coffee_sales_clean[[#This Row],[Transaction Date]],"dddd")</f>
        <v>Wednesday</v>
      </c>
      <c r="C1026" s="12">
        <v>45504</v>
      </c>
      <c r="D1026" s="4">
        <v>0.36016476851851853</v>
      </c>
      <c r="E10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26" t="s">
        <v>3</v>
      </c>
      <c r="G1026" s="2">
        <v>27.92</v>
      </c>
    </row>
    <row r="1027" spans="1:7" x14ac:dyDescent="0.25">
      <c r="A10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240731-MOR004</v>
      </c>
      <c r="B1027" s="1" t="str">
        <f>TEXT(Coffee_sales_clean[[#This Row],[Transaction Date]],"dddd")</f>
        <v>Wednesday</v>
      </c>
      <c r="C1027" s="12">
        <v>45504</v>
      </c>
      <c r="D1027" s="4">
        <v>0.41302447916666668</v>
      </c>
      <c r="E10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27" t="s">
        <v>2</v>
      </c>
      <c r="G1027" s="2">
        <v>23.02</v>
      </c>
    </row>
    <row r="1028" spans="1:7" x14ac:dyDescent="0.25">
      <c r="A10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240731-MOR005</v>
      </c>
      <c r="B1028" s="1" t="str">
        <f>TEXT(Coffee_sales_clean[[#This Row],[Transaction Date]],"dddd")</f>
        <v>Wednesday</v>
      </c>
      <c r="C1028" s="12">
        <v>45504</v>
      </c>
      <c r="D1028" s="4">
        <v>0.41371692129629628</v>
      </c>
      <c r="E10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28" t="s">
        <v>2</v>
      </c>
      <c r="G1028" s="2">
        <v>23.02</v>
      </c>
    </row>
    <row r="1029" spans="1:7" x14ac:dyDescent="0.25">
      <c r="A10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240731-MOR006</v>
      </c>
      <c r="B1029" s="1" t="str">
        <f>TEXT(Coffee_sales_clean[[#This Row],[Transaction Date]],"dddd")</f>
        <v>Wednesday</v>
      </c>
      <c r="C1029" s="12">
        <v>45504</v>
      </c>
      <c r="D1029" s="4">
        <v>0.41546137731481481</v>
      </c>
      <c r="E10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29" t="s">
        <v>3</v>
      </c>
      <c r="G1029" s="2">
        <v>27.92</v>
      </c>
    </row>
    <row r="1030" spans="1:7" x14ac:dyDescent="0.25">
      <c r="A10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240731-LUN001</v>
      </c>
      <c r="B1030" s="1" t="str">
        <f>TEXT(Coffee_sales_clean[[#This Row],[Transaction Date]],"dddd")</f>
        <v>Wednesday</v>
      </c>
      <c r="C1030" s="12">
        <v>45504</v>
      </c>
      <c r="D1030" s="4">
        <v>0.54979871527777779</v>
      </c>
      <c r="E10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30" t="s">
        <v>4</v>
      </c>
      <c r="G1030" s="2">
        <v>32.82</v>
      </c>
    </row>
    <row r="1031" spans="1:7" x14ac:dyDescent="0.25">
      <c r="A10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240731-LUN002</v>
      </c>
      <c r="B1031" s="1" t="str">
        <f>TEXT(Coffee_sales_clean[[#This Row],[Transaction Date]],"dddd")</f>
        <v>Wednesday</v>
      </c>
      <c r="C1031" s="12">
        <v>45504</v>
      </c>
      <c r="D1031" s="4">
        <v>0.55139219907407411</v>
      </c>
      <c r="E10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31" t="s">
        <v>0</v>
      </c>
      <c r="G1031" s="2">
        <v>32.82</v>
      </c>
    </row>
    <row r="1032" spans="1:7" x14ac:dyDescent="0.25">
      <c r="A10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240731-LUN003</v>
      </c>
      <c r="B1032" s="1" t="str">
        <f>TEXT(Coffee_sales_clean[[#This Row],[Transaction Date]],"dddd")</f>
        <v>Wednesday</v>
      </c>
      <c r="C1032" s="12">
        <v>45504</v>
      </c>
      <c r="D1032" s="4">
        <v>0.55890552083333334</v>
      </c>
      <c r="E10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32" t="s">
        <v>3</v>
      </c>
      <c r="G1032" s="2">
        <v>27.92</v>
      </c>
    </row>
    <row r="1033" spans="1:7" x14ac:dyDescent="0.25">
      <c r="A10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240731-EVE001</v>
      </c>
      <c r="B1033" s="1" t="str">
        <f>TEXT(Coffee_sales_clean[[#This Row],[Transaction Date]],"dddd")</f>
        <v>Wednesday</v>
      </c>
      <c r="C1033" s="12">
        <v>45504</v>
      </c>
      <c r="D1033" s="4">
        <v>0.74174521990740738</v>
      </c>
      <c r="E10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33" t="s">
        <v>5</v>
      </c>
      <c r="G1033" s="2">
        <v>23.02</v>
      </c>
    </row>
    <row r="1034" spans="1:7" x14ac:dyDescent="0.25">
      <c r="A10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240731-EVE002</v>
      </c>
      <c r="B1034" s="1" t="str">
        <f>TEXT(Coffee_sales_clean[[#This Row],[Transaction Date]],"dddd")</f>
        <v>Wednesday</v>
      </c>
      <c r="C1034" s="12">
        <v>45504</v>
      </c>
      <c r="D1034" s="4">
        <v>0.75295106481481477</v>
      </c>
      <c r="E10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34" t="s">
        <v>0</v>
      </c>
      <c r="G1034" s="2">
        <v>32.82</v>
      </c>
    </row>
    <row r="1035" spans="1:7" x14ac:dyDescent="0.25">
      <c r="A10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240731-EVE003</v>
      </c>
      <c r="B1035" s="1" t="str">
        <f>TEXT(Coffee_sales_clean[[#This Row],[Transaction Date]],"dddd")</f>
        <v>Wednesday</v>
      </c>
      <c r="C1035" s="12">
        <v>45504</v>
      </c>
      <c r="D1035" s="4">
        <v>0.80739447916666662</v>
      </c>
      <c r="E10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35" t="s">
        <v>5</v>
      </c>
      <c r="G1035" s="2">
        <v>23.02</v>
      </c>
    </row>
    <row r="1036" spans="1:7" x14ac:dyDescent="0.25">
      <c r="A10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240731-EVE004</v>
      </c>
      <c r="B1036" s="1" t="str">
        <f>TEXT(Coffee_sales_clean[[#This Row],[Transaction Date]],"dddd")</f>
        <v>Wednesday</v>
      </c>
      <c r="C1036" s="12">
        <v>45504</v>
      </c>
      <c r="D1036" s="4">
        <v>0.81163357638888889</v>
      </c>
      <c r="E10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36" t="s">
        <v>0</v>
      </c>
      <c r="G1036" s="2">
        <v>32.82</v>
      </c>
    </row>
    <row r="1037" spans="1:7" x14ac:dyDescent="0.25">
      <c r="A10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240731-LAT001</v>
      </c>
      <c r="B1037" s="1" t="str">
        <f>TEXT(Coffee_sales_clean[[#This Row],[Transaction Date]],"dddd")</f>
        <v>Wednesday</v>
      </c>
      <c r="C1037" s="12">
        <v>45504</v>
      </c>
      <c r="D1037" s="4">
        <v>0.8657687268518518</v>
      </c>
      <c r="E10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37" t="s">
        <v>4</v>
      </c>
      <c r="G1037" s="2">
        <v>32.82</v>
      </c>
    </row>
    <row r="1038" spans="1:7" x14ac:dyDescent="0.25">
      <c r="A10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240731-LAT002</v>
      </c>
      <c r="B1038" s="1" t="str">
        <f>TEXT(Coffee_sales_clean[[#This Row],[Transaction Date]],"dddd")</f>
        <v>Wednesday</v>
      </c>
      <c r="C1038" s="12">
        <v>45504</v>
      </c>
      <c r="D1038" s="4">
        <v>0.86814133101851854</v>
      </c>
      <c r="E10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38" t="s">
        <v>5</v>
      </c>
      <c r="G1038" s="2">
        <v>23.02</v>
      </c>
    </row>
    <row r="1039" spans="1:7" x14ac:dyDescent="0.25">
      <c r="A10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240731-LAT003</v>
      </c>
      <c r="B1039" s="1" t="str">
        <f>TEXT(Coffee_sales_clean[[#This Row],[Transaction Date]],"dddd")</f>
        <v>Wednesday</v>
      </c>
      <c r="C1039" s="12">
        <v>45504</v>
      </c>
      <c r="D1039" s="4">
        <v>0.86887017361111107</v>
      </c>
      <c r="E10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39" t="s">
        <v>0</v>
      </c>
      <c r="G1039" s="2">
        <v>32.82</v>
      </c>
    </row>
    <row r="1040" spans="1:7" x14ac:dyDescent="0.25">
      <c r="A10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240731-LAT004</v>
      </c>
      <c r="B1040" s="1" t="str">
        <f>TEXT(Coffee_sales_clean[[#This Row],[Transaction Date]],"dddd")</f>
        <v>Wednesday</v>
      </c>
      <c r="C1040" s="12">
        <v>45504</v>
      </c>
      <c r="D1040" s="4">
        <v>0.86961576388888884</v>
      </c>
      <c r="E10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40" t="s">
        <v>7</v>
      </c>
      <c r="G1040" s="2">
        <v>32.82</v>
      </c>
    </row>
    <row r="1041" spans="1:7" x14ac:dyDescent="0.25">
      <c r="A10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240731-LAT005</v>
      </c>
      <c r="B1041" s="1" t="str">
        <f>TEXT(Coffee_sales_clean[[#This Row],[Transaction Date]],"dddd")</f>
        <v>Wednesday</v>
      </c>
      <c r="C1041" s="12">
        <v>45504</v>
      </c>
      <c r="D1041" s="4">
        <v>0.87054487268518521</v>
      </c>
      <c r="E10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41" t="s">
        <v>5</v>
      </c>
      <c r="G1041" s="2">
        <v>23.02</v>
      </c>
    </row>
    <row r="1042" spans="1:7" x14ac:dyDescent="0.25">
      <c r="A10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240731-LAT006</v>
      </c>
      <c r="B1042" s="1" t="str">
        <f>TEXT(Coffee_sales_clean[[#This Row],[Transaction Date]],"dddd")</f>
        <v>Wednesday</v>
      </c>
      <c r="C1042" s="12">
        <v>45504</v>
      </c>
      <c r="D1042" s="4">
        <v>0.8745950578703704</v>
      </c>
      <c r="E10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42" t="s">
        <v>3</v>
      </c>
      <c r="G1042" s="2">
        <v>27.92</v>
      </c>
    </row>
    <row r="1043" spans="1:7" x14ac:dyDescent="0.25">
      <c r="A10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240731-LAT007</v>
      </c>
      <c r="B1043" s="1" t="str">
        <f>TEXT(Coffee_sales_clean[[#This Row],[Transaction Date]],"dddd")</f>
        <v>Wednesday</v>
      </c>
      <c r="C1043" s="12">
        <v>45504</v>
      </c>
      <c r="D1043" s="4">
        <v>0.8933564814814815</v>
      </c>
      <c r="E10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43" t="s">
        <v>0</v>
      </c>
      <c r="G1043" s="2">
        <v>32.82</v>
      </c>
    </row>
    <row r="1044" spans="1:7" x14ac:dyDescent="0.25">
      <c r="A10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240731-LAT008</v>
      </c>
      <c r="B1044" s="1" t="str">
        <f>TEXT(Coffee_sales_clean[[#This Row],[Transaction Date]],"dddd")</f>
        <v>Wednesday</v>
      </c>
      <c r="C1044" s="12">
        <v>45504</v>
      </c>
      <c r="D1044" s="4">
        <v>0.91263685185185184</v>
      </c>
      <c r="E10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44" t="s">
        <v>0</v>
      </c>
      <c r="G1044" s="2">
        <v>32.82</v>
      </c>
    </row>
    <row r="1045" spans="1:7" x14ac:dyDescent="0.25">
      <c r="A10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240731-LAT009</v>
      </c>
      <c r="B1045" s="1" t="str">
        <f>TEXT(Coffee_sales_clean[[#This Row],[Transaction Date]],"dddd")</f>
        <v>Wednesday</v>
      </c>
      <c r="C1045" s="12">
        <v>45504</v>
      </c>
      <c r="D1045" s="4">
        <v>0.91338622685185189</v>
      </c>
      <c r="E10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45" t="s">
        <v>0</v>
      </c>
      <c r="G1045" s="2">
        <v>32.82</v>
      </c>
    </row>
    <row r="1046" spans="1:7" x14ac:dyDescent="0.25">
      <c r="A10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240801-MOR001</v>
      </c>
      <c r="B1046" s="1" t="str">
        <f>TEXT(Coffee_sales_clean[[#This Row],[Transaction Date]],"dddd")</f>
        <v>Thursday</v>
      </c>
      <c r="C1046" s="12">
        <v>45505</v>
      </c>
      <c r="D1046" s="4">
        <v>0.31319542824074076</v>
      </c>
      <c r="E10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46" t="s">
        <v>3</v>
      </c>
      <c r="G1046" s="2">
        <v>27.92</v>
      </c>
    </row>
    <row r="1047" spans="1:7" x14ac:dyDescent="0.25">
      <c r="A10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240801-MOR002</v>
      </c>
      <c r="B1047" s="1" t="str">
        <f>TEXT(Coffee_sales_clean[[#This Row],[Transaction Date]],"dddd")</f>
        <v>Thursday</v>
      </c>
      <c r="C1047" s="12">
        <v>45505</v>
      </c>
      <c r="D1047" s="4">
        <v>0.39259328703703705</v>
      </c>
      <c r="E10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47" t="s">
        <v>3</v>
      </c>
      <c r="G1047" s="2">
        <v>27.92</v>
      </c>
    </row>
    <row r="1048" spans="1:7" x14ac:dyDescent="0.25">
      <c r="A10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240801-LUN001</v>
      </c>
      <c r="B1048" s="1" t="str">
        <f>TEXT(Coffee_sales_clean[[#This Row],[Transaction Date]],"dddd")</f>
        <v>Thursday</v>
      </c>
      <c r="C1048" s="12">
        <v>45505</v>
      </c>
      <c r="D1048" s="4">
        <v>0.46127392361111114</v>
      </c>
      <c r="E10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48" t="s">
        <v>3</v>
      </c>
      <c r="G1048" s="2">
        <v>27.92</v>
      </c>
    </row>
    <row r="1049" spans="1:7" x14ac:dyDescent="0.25">
      <c r="A10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240801-LUN002</v>
      </c>
      <c r="B1049" s="1" t="str">
        <f>TEXT(Coffee_sales_clean[[#This Row],[Transaction Date]],"dddd")</f>
        <v>Thursday</v>
      </c>
      <c r="C1049" s="12">
        <v>45505</v>
      </c>
      <c r="D1049" s="4">
        <v>0.47414778935185187</v>
      </c>
      <c r="E10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49" t="s">
        <v>3</v>
      </c>
      <c r="G1049" s="2">
        <v>27.92</v>
      </c>
    </row>
    <row r="1050" spans="1:7" x14ac:dyDescent="0.25">
      <c r="A10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240801-LUN003</v>
      </c>
      <c r="B1050" s="1" t="str">
        <f>TEXT(Coffee_sales_clean[[#This Row],[Transaction Date]],"dddd")</f>
        <v>Thursday</v>
      </c>
      <c r="C1050" s="12">
        <v>45505</v>
      </c>
      <c r="D1050" s="4">
        <v>0.55748380787037033</v>
      </c>
      <c r="E10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50" t="s">
        <v>5</v>
      </c>
      <c r="G1050" s="2">
        <v>23.02</v>
      </c>
    </row>
    <row r="1051" spans="1:7" x14ac:dyDescent="0.25">
      <c r="A10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240801-LUN004</v>
      </c>
      <c r="B1051" s="1" t="str">
        <f>TEXT(Coffee_sales_clean[[#This Row],[Transaction Date]],"dddd")</f>
        <v>Thursday</v>
      </c>
      <c r="C1051" s="12">
        <v>45505</v>
      </c>
      <c r="D1051" s="4">
        <v>0.55807076388888888</v>
      </c>
      <c r="E10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51" t="s">
        <v>7</v>
      </c>
      <c r="G1051" s="2">
        <v>32.82</v>
      </c>
    </row>
    <row r="1052" spans="1:7" x14ac:dyDescent="0.25">
      <c r="A10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240801-LUN005</v>
      </c>
      <c r="B1052" s="1" t="str">
        <f>TEXT(Coffee_sales_clean[[#This Row],[Transaction Date]],"dddd")</f>
        <v>Thursday</v>
      </c>
      <c r="C1052" s="12">
        <v>45505</v>
      </c>
      <c r="D1052" s="4">
        <v>0.57577853009259261</v>
      </c>
      <c r="E10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52" t="s">
        <v>7</v>
      </c>
      <c r="G1052" s="2">
        <v>32.82</v>
      </c>
    </row>
    <row r="1053" spans="1:7" x14ac:dyDescent="0.25">
      <c r="A10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240801-AFT001</v>
      </c>
      <c r="B1053" s="1" t="str">
        <f>TEXT(Coffee_sales_clean[[#This Row],[Transaction Date]],"dddd")</f>
        <v>Thursday</v>
      </c>
      <c r="C1053" s="12">
        <v>45505</v>
      </c>
      <c r="D1053" s="4">
        <v>0.65536828703703709</v>
      </c>
      <c r="E10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53" t="s">
        <v>3</v>
      </c>
      <c r="G1053" s="2">
        <v>27.92</v>
      </c>
    </row>
    <row r="1054" spans="1:7" x14ac:dyDescent="0.25">
      <c r="A10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240801-AFT002</v>
      </c>
      <c r="B1054" s="1" t="str">
        <f>TEXT(Coffee_sales_clean[[#This Row],[Transaction Date]],"dddd")</f>
        <v>Thursday</v>
      </c>
      <c r="C1054" s="12">
        <v>45505</v>
      </c>
      <c r="D1054" s="4">
        <v>0.68334100694444444</v>
      </c>
      <c r="E10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54" t="s">
        <v>3</v>
      </c>
      <c r="G1054" s="2">
        <v>27.92</v>
      </c>
    </row>
    <row r="1055" spans="1:7" x14ac:dyDescent="0.25">
      <c r="A10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240801-AFT003</v>
      </c>
      <c r="B1055" s="1" t="str">
        <f>TEXT(Coffee_sales_clean[[#This Row],[Transaction Date]],"dddd")</f>
        <v>Thursday</v>
      </c>
      <c r="C1055" s="12">
        <v>45505</v>
      </c>
      <c r="D1055" s="4">
        <v>0.68480707175925926</v>
      </c>
      <c r="E10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55" t="s">
        <v>2</v>
      </c>
      <c r="G1055" s="2">
        <v>23.02</v>
      </c>
    </row>
    <row r="1056" spans="1:7" x14ac:dyDescent="0.25">
      <c r="A10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240801-EVE001</v>
      </c>
      <c r="B1056" s="1" t="str">
        <f>TEXT(Coffee_sales_clean[[#This Row],[Transaction Date]],"dddd")</f>
        <v>Thursday</v>
      </c>
      <c r="C1056" s="12">
        <v>45505</v>
      </c>
      <c r="D1056" s="4">
        <v>0.72471340277777774</v>
      </c>
      <c r="E10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56" t="s">
        <v>2</v>
      </c>
      <c r="G1056" s="2">
        <v>23.02</v>
      </c>
    </row>
    <row r="1057" spans="1:7" x14ac:dyDescent="0.25">
      <c r="A10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240801-LAT001</v>
      </c>
      <c r="B1057" s="1" t="str">
        <f>TEXT(Coffee_sales_clean[[#This Row],[Transaction Date]],"dddd")</f>
        <v>Thursday</v>
      </c>
      <c r="C1057" s="12">
        <v>45505</v>
      </c>
      <c r="D1057" s="4">
        <v>0.86213099537037041</v>
      </c>
      <c r="E10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57" t="s">
        <v>7</v>
      </c>
      <c r="G1057" s="2">
        <v>32.82</v>
      </c>
    </row>
    <row r="1058" spans="1:7" x14ac:dyDescent="0.25">
      <c r="A10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240802-MOR001</v>
      </c>
      <c r="B1058" s="1" t="str">
        <f>TEXT(Coffee_sales_clean[[#This Row],[Transaction Date]],"dddd")</f>
        <v>Friday</v>
      </c>
      <c r="C1058" s="12">
        <v>45506</v>
      </c>
      <c r="D1058" s="4">
        <v>0.37632135416666668</v>
      </c>
      <c r="E10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58" t="s">
        <v>3</v>
      </c>
      <c r="G1058" s="2">
        <v>27.92</v>
      </c>
    </row>
    <row r="1059" spans="1:7" x14ac:dyDescent="0.25">
      <c r="A10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240802-MOR002</v>
      </c>
      <c r="B1059" s="1" t="str">
        <f>TEXT(Coffee_sales_clean[[#This Row],[Transaction Date]],"dddd")</f>
        <v>Friday</v>
      </c>
      <c r="C1059" s="12">
        <v>45506</v>
      </c>
      <c r="D1059" s="4">
        <v>0.3993391087962963</v>
      </c>
      <c r="E10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59" t="s">
        <v>3</v>
      </c>
      <c r="G1059" s="2">
        <v>27.92</v>
      </c>
    </row>
    <row r="1060" spans="1:7" x14ac:dyDescent="0.25">
      <c r="A10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240802-LUN001</v>
      </c>
      <c r="B1060" s="1" t="str">
        <f>TEXT(Coffee_sales_clean[[#This Row],[Transaction Date]],"dddd")</f>
        <v>Friday</v>
      </c>
      <c r="C1060" s="12">
        <v>45506</v>
      </c>
      <c r="D1060" s="4">
        <v>0.46480862268518519</v>
      </c>
      <c r="E10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60" t="s">
        <v>5</v>
      </c>
      <c r="G1060" s="2">
        <v>23.02</v>
      </c>
    </row>
    <row r="1061" spans="1:7" x14ac:dyDescent="0.25">
      <c r="A10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240802-EVE001</v>
      </c>
      <c r="B1061" s="1" t="str">
        <f>TEXT(Coffee_sales_clean[[#This Row],[Transaction Date]],"dddd")</f>
        <v>Friday</v>
      </c>
      <c r="C1061" s="12">
        <v>45506</v>
      </c>
      <c r="D1061" s="4">
        <v>0.75596391203703706</v>
      </c>
      <c r="E10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61" t="s">
        <v>3</v>
      </c>
      <c r="G1061" s="2">
        <v>27.92</v>
      </c>
    </row>
    <row r="1062" spans="1:7" x14ac:dyDescent="0.25">
      <c r="A10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240802-LAT001</v>
      </c>
      <c r="B1062" s="1" t="str">
        <f>TEXT(Coffee_sales_clean[[#This Row],[Transaction Date]],"dddd")</f>
        <v>Friday</v>
      </c>
      <c r="C1062" s="12">
        <v>45506</v>
      </c>
      <c r="D1062" s="4">
        <v>0.89102267361111109</v>
      </c>
      <c r="E10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62" t="s">
        <v>0</v>
      </c>
      <c r="G1062" s="2">
        <v>32.82</v>
      </c>
    </row>
    <row r="1063" spans="1:7" x14ac:dyDescent="0.25">
      <c r="A10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240803-MOR001</v>
      </c>
      <c r="B1063" s="1" t="str">
        <f>TEXT(Coffee_sales_clean[[#This Row],[Transaction Date]],"dddd")</f>
        <v>Saturday</v>
      </c>
      <c r="C1063" s="12">
        <v>45507</v>
      </c>
      <c r="D1063" s="4">
        <v>0.37067883101851851</v>
      </c>
      <c r="E10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63" t="s">
        <v>3</v>
      </c>
      <c r="G1063" s="2">
        <v>27.92</v>
      </c>
    </row>
    <row r="1064" spans="1:7" x14ac:dyDescent="0.25">
      <c r="A10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240803-MOR002</v>
      </c>
      <c r="B1064" s="1" t="str">
        <f>TEXT(Coffee_sales_clean[[#This Row],[Transaction Date]],"dddd")</f>
        <v>Saturday</v>
      </c>
      <c r="C1064" s="12">
        <v>45507</v>
      </c>
      <c r="D1064" s="4">
        <v>0.40091681712962962</v>
      </c>
      <c r="E10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64" t="s">
        <v>3</v>
      </c>
      <c r="G1064" s="2">
        <v>27.92</v>
      </c>
    </row>
    <row r="1065" spans="1:7" x14ac:dyDescent="0.25">
      <c r="A10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240803-MOR003</v>
      </c>
      <c r="B1065" s="1" t="str">
        <f>TEXT(Coffee_sales_clean[[#This Row],[Transaction Date]],"dddd")</f>
        <v>Saturday</v>
      </c>
      <c r="C1065" s="12">
        <v>45507</v>
      </c>
      <c r="D1065" s="4">
        <v>0.40186354166666666</v>
      </c>
      <c r="E10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65" t="s">
        <v>3</v>
      </c>
      <c r="G1065" s="2">
        <v>27.92</v>
      </c>
    </row>
    <row r="1066" spans="1:7" x14ac:dyDescent="0.25">
      <c r="A10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240803-MOR004</v>
      </c>
      <c r="B1066" s="1" t="str">
        <f>TEXT(Coffee_sales_clean[[#This Row],[Transaction Date]],"dddd")</f>
        <v>Saturday</v>
      </c>
      <c r="C1066" s="12">
        <v>45507</v>
      </c>
      <c r="D1066" s="4">
        <v>0.42529687500000002</v>
      </c>
      <c r="E10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66" t="s">
        <v>3</v>
      </c>
      <c r="G1066" s="2">
        <v>27.92</v>
      </c>
    </row>
    <row r="1067" spans="1:7" x14ac:dyDescent="0.25">
      <c r="A10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240803-LUN001</v>
      </c>
      <c r="B1067" s="1" t="str">
        <f>TEXT(Coffee_sales_clean[[#This Row],[Transaction Date]],"dddd")</f>
        <v>Saturday</v>
      </c>
      <c r="C1067" s="12">
        <v>45507</v>
      </c>
      <c r="D1067" s="4">
        <v>0.47252975694444443</v>
      </c>
      <c r="E10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67" t="s">
        <v>5</v>
      </c>
      <c r="G1067" s="2">
        <v>23.02</v>
      </c>
    </row>
    <row r="1068" spans="1:7" x14ac:dyDescent="0.25">
      <c r="A10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240803-LUN002</v>
      </c>
      <c r="B1068" s="1" t="str">
        <f>TEXT(Coffee_sales_clean[[#This Row],[Transaction Date]],"dddd")</f>
        <v>Saturday</v>
      </c>
      <c r="C1068" s="12">
        <v>45507</v>
      </c>
      <c r="D1068" s="4">
        <v>0.47317129629629628</v>
      </c>
      <c r="E10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68" t="s">
        <v>5</v>
      </c>
      <c r="G1068" s="2">
        <v>23.02</v>
      </c>
    </row>
    <row r="1069" spans="1:7" x14ac:dyDescent="0.25">
      <c r="A10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240803-LUN003</v>
      </c>
      <c r="B1069" s="1" t="str">
        <f>TEXT(Coffee_sales_clean[[#This Row],[Transaction Date]],"dddd")</f>
        <v>Saturday</v>
      </c>
      <c r="C1069" s="12">
        <v>45507</v>
      </c>
      <c r="D1069" s="4">
        <v>0.49764615740740742</v>
      </c>
      <c r="E10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69" t="s">
        <v>6</v>
      </c>
      <c r="G1069" s="2">
        <v>18.12</v>
      </c>
    </row>
    <row r="1070" spans="1:7" x14ac:dyDescent="0.25">
      <c r="A10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240803-LUN004</v>
      </c>
      <c r="B1070" s="1" t="str">
        <f>TEXT(Coffee_sales_clean[[#This Row],[Transaction Date]],"dddd")</f>
        <v>Saturday</v>
      </c>
      <c r="C1070" s="12">
        <v>45507</v>
      </c>
      <c r="D1070" s="4">
        <v>0.49827862268518519</v>
      </c>
      <c r="E10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70" t="s">
        <v>3</v>
      </c>
      <c r="G1070" s="2">
        <v>27.92</v>
      </c>
    </row>
    <row r="1071" spans="1:7" x14ac:dyDescent="0.25">
      <c r="A10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240803-LUN005</v>
      </c>
      <c r="B1071" s="1" t="str">
        <f>TEXT(Coffee_sales_clean[[#This Row],[Transaction Date]],"dddd")</f>
        <v>Saturday</v>
      </c>
      <c r="C1071" s="12">
        <v>45507</v>
      </c>
      <c r="D1071" s="4">
        <v>0.50249741898148148</v>
      </c>
      <c r="E10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71" t="s">
        <v>3</v>
      </c>
      <c r="G1071" s="2">
        <v>27.92</v>
      </c>
    </row>
    <row r="1072" spans="1:7" x14ac:dyDescent="0.25">
      <c r="A10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240803-AFT001</v>
      </c>
      <c r="B1072" s="1" t="str">
        <f>TEXT(Coffee_sales_clean[[#This Row],[Transaction Date]],"dddd")</f>
        <v>Saturday</v>
      </c>
      <c r="C1072" s="12">
        <v>45507</v>
      </c>
      <c r="D1072" s="4">
        <v>0.70416582175925924</v>
      </c>
      <c r="E10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72" t="s">
        <v>3</v>
      </c>
      <c r="G1072" s="2">
        <v>27.92</v>
      </c>
    </row>
    <row r="1073" spans="1:7" x14ac:dyDescent="0.25">
      <c r="A10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240803-EVE001</v>
      </c>
      <c r="B1073" s="1" t="str">
        <f>TEXT(Coffee_sales_clean[[#This Row],[Transaction Date]],"dddd")</f>
        <v>Saturday</v>
      </c>
      <c r="C1073" s="12">
        <v>45507</v>
      </c>
      <c r="D1073" s="4">
        <v>0.77687530092592594</v>
      </c>
      <c r="E10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73" t="s">
        <v>7</v>
      </c>
      <c r="G1073" s="2">
        <v>32.82</v>
      </c>
    </row>
    <row r="1074" spans="1:7" x14ac:dyDescent="0.25">
      <c r="A10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240803-LAT001</v>
      </c>
      <c r="B1074" s="1" t="str">
        <f>TEXT(Coffee_sales_clean[[#This Row],[Transaction Date]],"dddd")</f>
        <v>Saturday</v>
      </c>
      <c r="C1074" s="12">
        <v>45507</v>
      </c>
      <c r="D1074" s="4">
        <v>0.8963999768518518</v>
      </c>
      <c r="E10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74" t="s">
        <v>0</v>
      </c>
      <c r="G1074" s="2">
        <v>32.82</v>
      </c>
    </row>
    <row r="1075" spans="1:7" x14ac:dyDescent="0.25">
      <c r="A10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240803-LAT002</v>
      </c>
      <c r="B1075" s="1" t="str">
        <f>TEXT(Coffee_sales_clean[[#This Row],[Transaction Date]],"dddd")</f>
        <v>Saturday</v>
      </c>
      <c r="C1075" s="12">
        <v>45507</v>
      </c>
      <c r="D1075" s="4">
        <v>0.89798917824074076</v>
      </c>
      <c r="E10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75" t="s">
        <v>0</v>
      </c>
      <c r="G1075" s="2">
        <v>32.82</v>
      </c>
    </row>
    <row r="1076" spans="1:7" x14ac:dyDescent="0.25">
      <c r="A10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240804-MOR001</v>
      </c>
      <c r="B1076" s="1" t="str">
        <f>TEXT(Coffee_sales_clean[[#This Row],[Transaction Date]],"dddd")</f>
        <v>Sunday</v>
      </c>
      <c r="C1076" s="12">
        <v>45508</v>
      </c>
      <c r="D1076" s="4">
        <v>0.34626520833333335</v>
      </c>
      <c r="E10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76" t="s">
        <v>7</v>
      </c>
      <c r="G1076" s="2">
        <v>32.82</v>
      </c>
    </row>
    <row r="1077" spans="1:7" x14ac:dyDescent="0.25">
      <c r="A10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240804-MOR002</v>
      </c>
      <c r="B1077" s="1" t="str">
        <f>TEXT(Coffee_sales_clean[[#This Row],[Transaction Date]],"dddd")</f>
        <v>Sunday</v>
      </c>
      <c r="C1077" s="12">
        <v>45508</v>
      </c>
      <c r="D1077" s="4">
        <v>0.44295258101851853</v>
      </c>
      <c r="E10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77" t="s">
        <v>3</v>
      </c>
      <c r="G1077" s="2">
        <v>27.92</v>
      </c>
    </row>
    <row r="1078" spans="1:7" x14ac:dyDescent="0.25">
      <c r="A10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240804-LUN001</v>
      </c>
      <c r="B1078" s="1" t="str">
        <f>TEXT(Coffee_sales_clean[[#This Row],[Transaction Date]],"dddd")</f>
        <v>Sunday</v>
      </c>
      <c r="C1078" s="12">
        <v>45508</v>
      </c>
      <c r="D1078" s="4">
        <v>0.49368753472222221</v>
      </c>
      <c r="E10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78" t="s">
        <v>7</v>
      </c>
      <c r="G1078" s="2">
        <v>32.82</v>
      </c>
    </row>
    <row r="1079" spans="1:7" x14ac:dyDescent="0.25">
      <c r="A10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240804-LUN002</v>
      </c>
      <c r="B1079" s="1" t="str">
        <f>TEXT(Coffee_sales_clean[[#This Row],[Transaction Date]],"dddd")</f>
        <v>Sunday</v>
      </c>
      <c r="C1079" s="12">
        <v>45508</v>
      </c>
      <c r="D1079" s="4">
        <v>0.49482658564814813</v>
      </c>
      <c r="E10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79" t="s">
        <v>3</v>
      </c>
      <c r="G1079" s="2">
        <v>27.92</v>
      </c>
    </row>
    <row r="1080" spans="1:7" x14ac:dyDescent="0.25">
      <c r="A10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240804-AFT001</v>
      </c>
      <c r="B1080" s="1" t="str">
        <f>TEXT(Coffee_sales_clean[[#This Row],[Transaction Date]],"dddd")</f>
        <v>Sunday</v>
      </c>
      <c r="C1080" s="12">
        <v>45508</v>
      </c>
      <c r="D1080" s="4">
        <v>0.64852010416666672</v>
      </c>
      <c r="E10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80" t="s">
        <v>7</v>
      </c>
      <c r="G1080" s="2">
        <v>32.82</v>
      </c>
    </row>
    <row r="1081" spans="1:7" x14ac:dyDescent="0.25">
      <c r="A10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240804-AFT002</v>
      </c>
      <c r="B1081" s="1" t="str">
        <f>TEXT(Coffee_sales_clean[[#This Row],[Transaction Date]],"dddd")</f>
        <v>Sunday</v>
      </c>
      <c r="C1081" s="12">
        <v>45508</v>
      </c>
      <c r="D1081" s="4">
        <v>0.64937391203703698</v>
      </c>
      <c r="E10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81" t="s">
        <v>7</v>
      </c>
      <c r="G1081" s="2">
        <v>32.82</v>
      </c>
    </row>
    <row r="1082" spans="1:7" x14ac:dyDescent="0.25">
      <c r="A10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240805-MOR001</v>
      </c>
      <c r="B1082" s="1" t="str">
        <f>TEXT(Coffee_sales_clean[[#This Row],[Transaction Date]],"dddd")</f>
        <v>Monday</v>
      </c>
      <c r="C1082" s="12">
        <v>45509</v>
      </c>
      <c r="D1082" s="4">
        <v>0.36812214120370368</v>
      </c>
      <c r="E10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82" t="s">
        <v>5</v>
      </c>
      <c r="G1082" s="2">
        <v>23.02</v>
      </c>
    </row>
    <row r="1083" spans="1:7" x14ac:dyDescent="0.25">
      <c r="A10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240805-MOR002</v>
      </c>
      <c r="B1083" s="1" t="str">
        <f>TEXT(Coffee_sales_clean[[#This Row],[Transaction Date]],"dddd")</f>
        <v>Monday</v>
      </c>
      <c r="C1083" s="12">
        <v>45509</v>
      </c>
      <c r="D1083" s="4">
        <v>0.38841638888888891</v>
      </c>
      <c r="E10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83" t="s">
        <v>3</v>
      </c>
      <c r="G1083" s="2">
        <v>27.92</v>
      </c>
    </row>
    <row r="1084" spans="1:7" x14ac:dyDescent="0.25">
      <c r="A10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240805-LUN001</v>
      </c>
      <c r="B1084" s="1" t="str">
        <f>TEXT(Coffee_sales_clean[[#This Row],[Transaction Date]],"dddd")</f>
        <v>Monday</v>
      </c>
      <c r="C1084" s="12">
        <v>45509</v>
      </c>
      <c r="D1084" s="4">
        <v>0.47277134259259257</v>
      </c>
      <c r="E10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84" t="s">
        <v>5</v>
      </c>
      <c r="G1084" s="2">
        <v>23.02</v>
      </c>
    </row>
    <row r="1085" spans="1:7" x14ac:dyDescent="0.25">
      <c r="A10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240805-LUN002</v>
      </c>
      <c r="B1085" s="1" t="str">
        <f>TEXT(Coffee_sales_clean[[#This Row],[Transaction Date]],"dddd")</f>
        <v>Monday</v>
      </c>
      <c r="C1085" s="12">
        <v>45509</v>
      </c>
      <c r="D1085" s="4">
        <v>0.5731765509259259</v>
      </c>
      <c r="E10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085" t="s">
        <v>7</v>
      </c>
      <c r="G1085" s="2">
        <v>32.82</v>
      </c>
    </row>
    <row r="1086" spans="1:7" x14ac:dyDescent="0.25">
      <c r="A10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240805-AFT001</v>
      </c>
      <c r="B1086" s="1" t="str">
        <f>TEXT(Coffee_sales_clean[[#This Row],[Transaction Date]],"dddd")</f>
        <v>Monday</v>
      </c>
      <c r="C1086" s="12">
        <v>45509</v>
      </c>
      <c r="D1086" s="4">
        <v>0.6708071527777778</v>
      </c>
      <c r="E10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86" t="s">
        <v>0</v>
      </c>
      <c r="G1086" s="2">
        <v>32.82</v>
      </c>
    </row>
    <row r="1087" spans="1:7" x14ac:dyDescent="0.25">
      <c r="A10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240805-AFT002</v>
      </c>
      <c r="B1087" s="1" t="str">
        <f>TEXT(Coffee_sales_clean[[#This Row],[Transaction Date]],"dddd")</f>
        <v>Monday</v>
      </c>
      <c r="C1087" s="12">
        <v>45509</v>
      </c>
      <c r="D1087" s="4">
        <v>0.67174579861111106</v>
      </c>
      <c r="E10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087" t="s">
        <v>0</v>
      </c>
      <c r="G1087" s="2">
        <v>32.82</v>
      </c>
    </row>
    <row r="1088" spans="1:7" x14ac:dyDescent="0.25">
      <c r="A10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240805-EVE001</v>
      </c>
      <c r="B1088" s="1" t="str">
        <f>TEXT(Coffee_sales_clean[[#This Row],[Transaction Date]],"dddd")</f>
        <v>Monday</v>
      </c>
      <c r="C1088" s="12">
        <v>45509</v>
      </c>
      <c r="D1088" s="4">
        <v>0.73917252314814819</v>
      </c>
      <c r="E10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88" t="s">
        <v>0</v>
      </c>
      <c r="G1088" s="2">
        <v>32.82</v>
      </c>
    </row>
    <row r="1089" spans="1:7" x14ac:dyDescent="0.25">
      <c r="A10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240805-EVE002</v>
      </c>
      <c r="B1089" s="1" t="str">
        <f>TEXT(Coffee_sales_clean[[#This Row],[Transaction Date]],"dddd")</f>
        <v>Monday</v>
      </c>
      <c r="C1089" s="12">
        <v>45509</v>
      </c>
      <c r="D1089" s="4">
        <v>0.73995505787037041</v>
      </c>
      <c r="E10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89" t="s">
        <v>3</v>
      </c>
      <c r="G1089" s="2">
        <v>27.92</v>
      </c>
    </row>
    <row r="1090" spans="1:7" x14ac:dyDescent="0.25">
      <c r="A10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240805-EVE003</v>
      </c>
      <c r="B1090" s="1" t="str">
        <f>TEXT(Coffee_sales_clean[[#This Row],[Transaction Date]],"dddd")</f>
        <v>Monday</v>
      </c>
      <c r="C1090" s="12">
        <v>45509</v>
      </c>
      <c r="D1090" s="4">
        <v>0.80558653935185187</v>
      </c>
      <c r="E10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90" t="s">
        <v>0</v>
      </c>
      <c r="G1090" s="2">
        <v>32.82</v>
      </c>
    </row>
    <row r="1091" spans="1:7" x14ac:dyDescent="0.25">
      <c r="A10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240805-EVE004</v>
      </c>
      <c r="B1091" s="1" t="str">
        <f>TEXT(Coffee_sales_clean[[#This Row],[Transaction Date]],"dddd")</f>
        <v>Monday</v>
      </c>
      <c r="C1091" s="12">
        <v>45509</v>
      </c>
      <c r="D1091" s="4">
        <v>0.81587365740740736</v>
      </c>
      <c r="E10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91" t="s">
        <v>0</v>
      </c>
      <c r="G1091" s="2">
        <v>32.82</v>
      </c>
    </row>
    <row r="1092" spans="1:7" x14ac:dyDescent="0.25">
      <c r="A10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240805-LAT001</v>
      </c>
      <c r="B1092" s="1" t="str">
        <f>TEXT(Coffee_sales_clean[[#This Row],[Transaction Date]],"dddd")</f>
        <v>Monday</v>
      </c>
      <c r="C1092" s="12">
        <v>45509</v>
      </c>
      <c r="D1092" s="4">
        <v>0.86771927083333333</v>
      </c>
      <c r="E10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92" t="s">
        <v>4</v>
      </c>
      <c r="G1092" s="2">
        <v>32.82</v>
      </c>
    </row>
    <row r="1093" spans="1:7" x14ac:dyDescent="0.25">
      <c r="A10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240805-LAT002</v>
      </c>
      <c r="B1093" s="1" t="str">
        <f>TEXT(Coffee_sales_clean[[#This Row],[Transaction Date]],"dddd")</f>
        <v>Monday</v>
      </c>
      <c r="C1093" s="12">
        <v>45509</v>
      </c>
      <c r="D1093" s="4">
        <v>0.86830924768518514</v>
      </c>
      <c r="E10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93" t="s">
        <v>4</v>
      </c>
      <c r="G1093" s="2">
        <v>32.82</v>
      </c>
    </row>
    <row r="1094" spans="1:7" x14ac:dyDescent="0.25">
      <c r="A10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240805-LAT003</v>
      </c>
      <c r="B1094" s="1" t="str">
        <f>TEXT(Coffee_sales_clean[[#This Row],[Transaction Date]],"dddd")</f>
        <v>Monday</v>
      </c>
      <c r="C1094" s="12">
        <v>45509</v>
      </c>
      <c r="D1094" s="4">
        <v>0.94708556712962966</v>
      </c>
      <c r="E10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094" t="s">
        <v>3</v>
      </c>
      <c r="G1094" s="2">
        <v>27.92</v>
      </c>
    </row>
    <row r="1095" spans="1:7" x14ac:dyDescent="0.25">
      <c r="A10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240806-MOR001</v>
      </c>
      <c r="B1095" s="1" t="str">
        <f>TEXT(Coffee_sales_clean[[#This Row],[Transaction Date]],"dddd")</f>
        <v>Tuesday</v>
      </c>
      <c r="C1095" s="12">
        <v>45510</v>
      </c>
      <c r="D1095" s="4">
        <v>0.43128842592592592</v>
      </c>
      <c r="E10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95" t="s">
        <v>5</v>
      </c>
      <c r="G1095" s="2">
        <v>23.02</v>
      </c>
    </row>
    <row r="1096" spans="1:7" x14ac:dyDescent="0.25">
      <c r="A10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240806-MOR002</v>
      </c>
      <c r="B1096" s="1" t="str">
        <f>TEXT(Coffee_sales_clean[[#This Row],[Transaction Date]],"dddd")</f>
        <v>Tuesday</v>
      </c>
      <c r="C1096" s="12">
        <v>45510</v>
      </c>
      <c r="D1096" s="4">
        <v>0.43926313657407406</v>
      </c>
      <c r="E10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096" t="s">
        <v>1</v>
      </c>
      <c r="G1096" s="2">
        <v>32.82</v>
      </c>
    </row>
    <row r="1097" spans="1:7" x14ac:dyDescent="0.25">
      <c r="A10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240806-EVE001</v>
      </c>
      <c r="B1097" s="1" t="str">
        <f>TEXT(Coffee_sales_clean[[#This Row],[Transaction Date]],"dddd")</f>
        <v>Tuesday</v>
      </c>
      <c r="C1097" s="12">
        <v>45510</v>
      </c>
      <c r="D1097" s="4">
        <v>0.73668056712962959</v>
      </c>
      <c r="E10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97" t="s">
        <v>7</v>
      </c>
      <c r="G1097" s="2">
        <v>32.82</v>
      </c>
    </row>
    <row r="1098" spans="1:7" x14ac:dyDescent="0.25">
      <c r="A10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240806-EVE002</v>
      </c>
      <c r="B1098" s="1" t="str">
        <f>TEXT(Coffee_sales_clean[[#This Row],[Transaction Date]],"dddd")</f>
        <v>Tuesday</v>
      </c>
      <c r="C1098" s="12">
        <v>45510</v>
      </c>
      <c r="D1098" s="4">
        <v>0.73810995370370369</v>
      </c>
      <c r="E10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98" t="s">
        <v>0</v>
      </c>
      <c r="G1098" s="2">
        <v>32.82</v>
      </c>
    </row>
    <row r="1099" spans="1:7" x14ac:dyDescent="0.25">
      <c r="A10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240806-EVE003</v>
      </c>
      <c r="B1099" s="1" t="str">
        <f>TEXT(Coffee_sales_clean[[#This Row],[Transaction Date]],"dddd")</f>
        <v>Tuesday</v>
      </c>
      <c r="C1099" s="12">
        <v>45510</v>
      </c>
      <c r="D1099" s="4">
        <v>0.73894753472222219</v>
      </c>
      <c r="E10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099" t="s">
        <v>4</v>
      </c>
      <c r="G1099" s="2">
        <v>32.82</v>
      </c>
    </row>
    <row r="1100" spans="1:7" x14ac:dyDescent="0.25">
      <c r="A11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240806-EVE004</v>
      </c>
      <c r="B1100" s="1" t="str">
        <f>TEXT(Coffee_sales_clean[[#This Row],[Transaction Date]],"dddd")</f>
        <v>Tuesday</v>
      </c>
      <c r="C1100" s="12">
        <v>45510</v>
      </c>
      <c r="D1100" s="4">
        <v>0.794497037037037</v>
      </c>
      <c r="E11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00" t="s">
        <v>0</v>
      </c>
      <c r="G1100" s="2">
        <v>32.82</v>
      </c>
    </row>
    <row r="1101" spans="1:7" x14ac:dyDescent="0.25">
      <c r="A11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240806-EVE005</v>
      </c>
      <c r="B1101" s="1" t="str">
        <f>TEXT(Coffee_sales_clean[[#This Row],[Transaction Date]],"dddd")</f>
        <v>Tuesday</v>
      </c>
      <c r="C1101" s="12">
        <v>45510</v>
      </c>
      <c r="D1101" s="4">
        <v>0.79540636574074075</v>
      </c>
      <c r="E11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01" t="s">
        <v>3</v>
      </c>
      <c r="G1101" s="2">
        <v>27.92</v>
      </c>
    </row>
    <row r="1102" spans="1:7" x14ac:dyDescent="0.25">
      <c r="A11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240806-LAT001</v>
      </c>
      <c r="B1102" s="1" t="str">
        <f>TEXT(Coffee_sales_clean[[#This Row],[Transaction Date]],"dddd")</f>
        <v>Tuesday</v>
      </c>
      <c r="C1102" s="12">
        <v>45510</v>
      </c>
      <c r="D1102" s="4">
        <v>0.83642515046296295</v>
      </c>
      <c r="E11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02" t="s">
        <v>0</v>
      </c>
      <c r="G1102" s="2">
        <v>32.82</v>
      </c>
    </row>
    <row r="1103" spans="1:7" x14ac:dyDescent="0.25">
      <c r="A11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240807-MOR001</v>
      </c>
      <c r="B1103" s="1" t="str">
        <f>TEXT(Coffee_sales_clean[[#This Row],[Transaction Date]],"dddd")</f>
        <v>Wednesday</v>
      </c>
      <c r="C1103" s="12">
        <v>45511</v>
      </c>
      <c r="D1103" s="4">
        <v>0.37208859953703705</v>
      </c>
      <c r="E11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03" t="s">
        <v>3</v>
      </c>
      <c r="G1103" s="2">
        <v>27.92</v>
      </c>
    </row>
    <row r="1104" spans="1:7" x14ac:dyDescent="0.25">
      <c r="A11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240807-LUN001</v>
      </c>
      <c r="B1104" s="1" t="str">
        <f>TEXT(Coffee_sales_clean[[#This Row],[Transaction Date]],"dddd")</f>
        <v>Wednesday</v>
      </c>
      <c r="C1104" s="12">
        <v>45511</v>
      </c>
      <c r="D1104" s="4">
        <v>0.50864351851851852</v>
      </c>
      <c r="E11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04" t="s">
        <v>2</v>
      </c>
      <c r="G1104" s="2">
        <v>23.02</v>
      </c>
    </row>
    <row r="1105" spans="1:7" x14ac:dyDescent="0.25">
      <c r="A11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240807-LUN002</v>
      </c>
      <c r="B1105" s="1" t="str">
        <f>TEXT(Coffee_sales_clean[[#This Row],[Transaction Date]],"dddd")</f>
        <v>Wednesday</v>
      </c>
      <c r="C1105" s="12">
        <v>45511</v>
      </c>
      <c r="D1105" s="4">
        <v>0.50949842592592598</v>
      </c>
      <c r="E11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05" t="s">
        <v>2</v>
      </c>
      <c r="G1105" s="2">
        <v>23.02</v>
      </c>
    </row>
    <row r="1106" spans="1:7" x14ac:dyDescent="0.25">
      <c r="A11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240807-LUN003</v>
      </c>
      <c r="B1106" s="1" t="str">
        <f>TEXT(Coffee_sales_clean[[#This Row],[Transaction Date]],"dddd")</f>
        <v>Wednesday</v>
      </c>
      <c r="C1106" s="12">
        <v>45511</v>
      </c>
      <c r="D1106" s="4">
        <v>0.54949253472222226</v>
      </c>
      <c r="E11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06" t="s">
        <v>6</v>
      </c>
      <c r="G1106" s="2">
        <v>18.12</v>
      </c>
    </row>
    <row r="1107" spans="1:7" x14ac:dyDescent="0.25">
      <c r="A11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240807-AFT001</v>
      </c>
      <c r="B1107" s="1" t="str">
        <f>TEXT(Coffee_sales_clean[[#This Row],[Transaction Date]],"dddd")</f>
        <v>Wednesday</v>
      </c>
      <c r="C1107" s="12">
        <v>45511</v>
      </c>
      <c r="D1107" s="4">
        <v>0.67988028935185185</v>
      </c>
      <c r="E11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07" t="s">
        <v>2</v>
      </c>
      <c r="G1107" s="2">
        <v>23.02</v>
      </c>
    </row>
    <row r="1108" spans="1:7" x14ac:dyDescent="0.25">
      <c r="A11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240807-EVE001</v>
      </c>
      <c r="B1108" s="1" t="str">
        <f>TEXT(Coffee_sales_clean[[#This Row],[Transaction Date]],"dddd")</f>
        <v>Wednesday</v>
      </c>
      <c r="C1108" s="12">
        <v>45511</v>
      </c>
      <c r="D1108" s="4">
        <v>0.81692984953703707</v>
      </c>
      <c r="E11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08" t="s">
        <v>0</v>
      </c>
      <c r="G1108" s="2">
        <v>32.82</v>
      </c>
    </row>
    <row r="1109" spans="1:7" x14ac:dyDescent="0.25">
      <c r="A11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240807-LAT001</v>
      </c>
      <c r="B1109" s="1" t="str">
        <f>TEXT(Coffee_sales_clean[[#This Row],[Transaction Date]],"dddd")</f>
        <v>Wednesday</v>
      </c>
      <c r="C1109" s="12">
        <v>45511</v>
      </c>
      <c r="D1109" s="4">
        <v>0.86121853009259264</v>
      </c>
      <c r="E11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09" t="s">
        <v>4</v>
      </c>
      <c r="G1109" s="2">
        <v>32.82</v>
      </c>
    </row>
    <row r="1110" spans="1:7" x14ac:dyDescent="0.25">
      <c r="A11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240807-LAT002</v>
      </c>
      <c r="B1110" s="1" t="str">
        <f>TEXT(Coffee_sales_clean[[#This Row],[Transaction Date]],"dddd")</f>
        <v>Wednesday</v>
      </c>
      <c r="C1110" s="12">
        <v>45511</v>
      </c>
      <c r="D1110" s="4">
        <v>0.8876387731481481</v>
      </c>
      <c r="E11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10" t="s">
        <v>7</v>
      </c>
      <c r="G1110" s="2">
        <v>32.82</v>
      </c>
    </row>
    <row r="1111" spans="1:7" x14ac:dyDescent="0.25">
      <c r="A11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240807-LAT003</v>
      </c>
      <c r="B1111" s="1" t="str">
        <f>TEXT(Coffee_sales_clean[[#This Row],[Transaction Date]],"dddd")</f>
        <v>Wednesday</v>
      </c>
      <c r="C1111" s="12">
        <v>45511</v>
      </c>
      <c r="D1111" s="4">
        <v>0.93676719907407402</v>
      </c>
      <c r="E11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11" t="s">
        <v>0</v>
      </c>
      <c r="G1111" s="2">
        <v>32.82</v>
      </c>
    </row>
    <row r="1112" spans="1:7" x14ac:dyDescent="0.25">
      <c r="A11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240807-LAT004</v>
      </c>
      <c r="B1112" s="1" t="str">
        <f>TEXT(Coffee_sales_clean[[#This Row],[Transaction Date]],"dddd")</f>
        <v>Wednesday</v>
      </c>
      <c r="C1112" s="12">
        <v>45511</v>
      </c>
      <c r="D1112" s="4">
        <v>0.9390737384259259</v>
      </c>
      <c r="E11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12" t="s">
        <v>0</v>
      </c>
      <c r="G1112" s="2">
        <v>32.82</v>
      </c>
    </row>
    <row r="1113" spans="1:7" x14ac:dyDescent="0.25">
      <c r="A11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240808-MOR001</v>
      </c>
      <c r="B1113" s="1" t="str">
        <f>TEXT(Coffee_sales_clean[[#This Row],[Transaction Date]],"dddd")</f>
        <v>Thursday</v>
      </c>
      <c r="C1113" s="12">
        <v>45512</v>
      </c>
      <c r="D1113" s="4">
        <v>0.36569680555555556</v>
      </c>
      <c r="E11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13" t="s">
        <v>6</v>
      </c>
      <c r="G1113" s="2">
        <v>18.12</v>
      </c>
    </row>
    <row r="1114" spans="1:7" x14ac:dyDescent="0.25">
      <c r="A11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240808-MOR002</v>
      </c>
      <c r="B1114" s="1" t="str">
        <f>TEXT(Coffee_sales_clean[[#This Row],[Transaction Date]],"dddd")</f>
        <v>Thursday</v>
      </c>
      <c r="C1114" s="12">
        <v>45512</v>
      </c>
      <c r="D1114" s="4">
        <v>0.36630423611111113</v>
      </c>
      <c r="E11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14" t="s">
        <v>5</v>
      </c>
      <c r="G1114" s="2">
        <v>23.02</v>
      </c>
    </row>
    <row r="1115" spans="1:7" x14ac:dyDescent="0.25">
      <c r="A11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240808-LUN001</v>
      </c>
      <c r="B1115" s="1" t="str">
        <f>TEXT(Coffee_sales_clean[[#This Row],[Transaction Date]],"dddd")</f>
        <v>Thursday</v>
      </c>
      <c r="C1115" s="12">
        <v>45512</v>
      </c>
      <c r="D1115" s="4">
        <v>0.51881218750000002</v>
      </c>
      <c r="E11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15" t="s">
        <v>3</v>
      </c>
      <c r="G1115" s="2">
        <v>27.92</v>
      </c>
    </row>
    <row r="1116" spans="1:7" x14ac:dyDescent="0.25">
      <c r="A11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240808-LUN002</v>
      </c>
      <c r="B1116" s="1" t="str">
        <f>TEXT(Coffee_sales_clean[[#This Row],[Transaction Date]],"dddd")</f>
        <v>Thursday</v>
      </c>
      <c r="C1116" s="12">
        <v>45512</v>
      </c>
      <c r="D1116" s="4">
        <v>0.53008747685185187</v>
      </c>
      <c r="E11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16" t="s">
        <v>5</v>
      </c>
      <c r="G1116" s="2">
        <v>23.02</v>
      </c>
    </row>
    <row r="1117" spans="1:7" x14ac:dyDescent="0.25">
      <c r="A11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240808-LUN003</v>
      </c>
      <c r="B1117" s="1" t="str">
        <f>TEXT(Coffee_sales_clean[[#This Row],[Transaction Date]],"dddd")</f>
        <v>Thursday</v>
      </c>
      <c r="C1117" s="12">
        <v>45512</v>
      </c>
      <c r="D1117" s="4">
        <v>0.53072862268518517</v>
      </c>
      <c r="E11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17" t="s">
        <v>5</v>
      </c>
      <c r="G1117" s="2">
        <v>23.02</v>
      </c>
    </row>
    <row r="1118" spans="1:7" x14ac:dyDescent="0.25">
      <c r="A11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240808-AFT001</v>
      </c>
      <c r="B1118" s="1" t="str">
        <f>TEXT(Coffee_sales_clean[[#This Row],[Transaction Date]],"dddd")</f>
        <v>Thursday</v>
      </c>
      <c r="C1118" s="12">
        <v>45512</v>
      </c>
      <c r="D1118" s="4">
        <v>0.70686650462962963</v>
      </c>
      <c r="E11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18" t="s">
        <v>7</v>
      </c>
      <c r="G1118" s="2">
        <v>32.82</v>
      </c>
    </row>
    <row r="1119" spans="1:7" x14ac:dyDescent="0.25">
      <c r="A11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240808-EVE001</v>
      </c>
      <c r="B1119" s="1" t="str">
        <f>TEXT(Coffee_sales_clean[[#This Row],[Transaction Date]],"dddd")</f>
        <v>Thursday</v>
      </c>
      <c r="C1119" s="12">
        <v>45512</v>
      </c>
      <c r="D1119" s="4">
        <v>0.7207378356481482</v>
      </c>
      <c r="E11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19" t="s">
        <v>7</v>
      </c>
      <c r="G1119" s="2">
        <v>32.82</v>
      </c>
    </row>
    <row r="1120" spans="1:7" x14ac:dyDescent="0.25">
      <c r="A11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240808-LAT001</v>
      </c>
      <c r="B1120" s="1" t="str">
        <f>TEXT(Coffee_sales_clean[[#This Row],[Transaction Date]],"dddd")</f>
        <v>Thursday</v>
      </c>
      <c r="C1120" s="12">
        <v>45512</v>
      </c>
      <c r="D1120" s="4">
        <v>0.89304704861111106</v>
      </c>
      <c r="E11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20" t="s">
        <v>3</v>
      </c>
      <c r="G1120" s="2">
        <v>27.92</v>
      </c>
    </row>
    <row r="1121" spans="1:7" x14ac:dyDescent="0.25">
      <c r="A11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240809-MOR001</v>
      </c>
      <c r="B1121" s="1" t="str">
        <f>TEXT(Coffee_sales_clean[[#This Row],[Transaction Date]],"dddd")</f>
        <v>Friday</v>
      </c>
      <c r="C1121" s="12">
        <v>45513</v>
      </c>
      <c r="D1121" s="4">
        <v>0.31623078703703705</v>
      </c>
      <c r="E11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21" t="s">
        <v>0</v>
      </c>
      <c r="G1121" s="2">
        <v>32.82</v>
      </c>
    </row>
    <row r="1122" spans="1:7" x14ac:dyDescent="0.25">
      <c r="A11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240809-MOR002</v>
      </c>
      <c r="B1122" s="1" t="str">
        <f>TEXT(Coffee_sales_clean[[#This Row],[Transaction Date]],"dddd")</f>
        <v>Friday</v>
      </c>
      <c r="C1122" s="12">
        <v>45513</v>
      </c>
      <c r="D1122" s="4">
        <v>0.41220547453703704</v>
      </c>
      <c r="E11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22" t="s">
        <v>2</v>
      </c>
      <c r="G1122" s="2">
        <v>23.02</v>
      </c>
    </row>
    <row r="1123" spans="1:7" x14ac:dyDescent="0.25">
      <c r="A11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240809-MOR003</v>
      </c>
      <c r="B1123" s="1" t="str">
        <f>TEXT(Coffee_sales_clean[[#This Row],[Transaction Date]],"dddd")</f>
        <v>Friday</v>
      </c>
      <c r="C1123" s="12">
        <v>45513</v>
      </c>
      <c r="D1123" s="4">
        <v>0.42578167824074076</v>
      </c>
      <c r="E11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23" t="s">
        <v>5</v>
      </c>
      <c r="G1123" s="2">
        <v>23.02</v>
      </c>
    </row>
    <row r="1124" spans="1:7" x14ac:dyDescent="0.25">
      <c r="A11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240809-MOR004</v>
      </c>
      <c r="B1124" s="1" t="str">
        <f>TEXT(Coffee_sales_clean[[#This Row],[Transaction Date]],"dddd")</f>
        <v>Friday</v>
      </c>
      <c r="C1124" s="12">
        <v>45513</v>
      </c>
      <c r="D1124" s="4">
        <v>0.4352682175925926</v>
      </c>
      <c r="E11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24" t="s">
        <v>3</v>
      </c>
      <c r="G1124" s="2">
        <v>27.92</v>
      </c>
    </row>
    <row r="1125" spans="1:7" x14ac:dyDescent="0.25">
      <c r="A11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240809-LUN001</v>
      </c>
      <c r="B1125" s="1" t="str">
        <f>TEXT(Coffee_sales_clean[[#This Row],[Transaction Date]],"dddd")</f>
        <v>Friday</v>
      </c>
      <c r="C1125" s="12">
        <v>45513</v>
      </c>
      <c r="D1125" s="4">
        <v>0.47787872685185184</v>
      </c>
      <c r="E11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25" t="s">
        <v>0</v>
      </c>
      <c r="G1125" s="2">
        <v>32.82</v>
      </c>
    </row>
    <row r="1126" spans="1:7" x14ac:dyDescent="0.25">
      <c r="A11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240809-LUN002</v>
      </c>
      <c r="B1126" s="1" t="str">
        <f>TEXT(Coffee_sales_clean[[#This Row],[Transaction Date]],"dddd")</f>
        <v>Friday</v>
      </c>
      <c r="C1126" s="12">
        <v>45513</v>
      </c>
      <c r="D1126" s="4">
        <v>0.47903567129629632</v>
      </c>
      <c r="E11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26" t="s">
        <v>2</v>
      </c>
      <c r="G1126" s="2">
        <v>23.02</v>
      </c>
    </row>
    <row r="1127" spans="1:7" x14ac:dyDescent="0.25">
      <c r="A11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240809-EVE001</v>
      </c>
      <c r="B1127" s="1" t="str">
        <f>TEXT(Coffee_sales_clean[[#This Row],[Transaction Date]],"dddd")</f>
        <v>Friday</v>
      </c>
      <c r="C1127" s="12">
        <v>45513</v>
      </c>
      <c r="D1127" s="4">
        <v>0.78920962962962959</v>
      </c>
      <c r="E11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27" t="s">
        <v>2</v>
      </c>
      <c r="G1127" s="2">
        <v>23.02</v>
      </c>
    </row>
    <row r="1128" spans="1:7" x14ac:dyDescent="0.25">
      <c r="A11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240809-EVE002</v>
      </c>
      <c r="B1128" s="1" t="str">
        <f>TEXT(Coffee_sales_clean[[#This Row],[Transaction Date]],"dddd")</f>
        <v>Friday</v>
      </c>
      <c r="C1128" s="12">
        <v>45513</v>
      </c>
      <c r="D1128" s="4">
        <v>0.7938265162037037</v>
      </c>
      <c r="E11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28" t="s">
        <v>1</v>
      </c>
      <c r="G1128" s="2">
        <v>32.82</v>
      </c>
    </row>
    <row r="1129" spans="1:7" x14ac:dyDescent="0.25">
      <c r="A11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240810-MOR001</v>
      </c>
      <c r="B1129" s="1" t="str">
        <f>TEXT(Coffee_sales_clean[[#This Row],[Transaction Date]],"dddd")</f>
        <v>Saturday</v>
      </c>
      <c r="C1129" s="12">
        <v>45514</v>
      </c>
      <c r="D1129" s="4">
        <v>0.35884986111111111</v>
      </c>
      <c r="E11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29" t="s">
        <v>7</v>
      </c>
      <c r="G1129" s="2">
        <v>32.82</v>
      </c>
    </row>
    <row r="1130" spans="1:7" x14ac:dyDescent="0.25">
      <c r="A11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240810-MOR002</v>
      </c>
      <c r="B1130" s="1" t="str">
        <f>TEXT(Coffee_sales_clean[[#This Row],[Transaction Date]],"dddd")</f>
        <v>Saturday</v>
      </c>
      <c r="C1130" s="12">
        <v>45514</v>
      </c>
      <c r="D1130" s="4">
        <v>0.35968829861111112</v>
      </c>
      <c r="E11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30" t="s">
        <v>3</v>
      </c>
      <c r="G1130" s="2">
        <v>27.92</v>
      </c>
    </row>
    <row r="1131" spans="1:7" x14ac:dyDescent="0.25">
      <c r="A11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240810-MOR003</v>
      </c>
      <c r="B1131" s="1" t="str">
        <f>TEXT(Coffee_sales_clean[[#This Row],[Transaction Date]],"dddd")</f>
        <v>Saturday</v>
      </c>
      <c r="C1131" s="12">
        <v>45514</v>
      </c>
      <c r="D1131" s="4">
        <v>0.36468771990740739</v>
      </c>
      <c r="E11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31" t="s">
        <v>5</v>
      </c>
      <c r="G1131" s="2">
        <v>23.02</v>
      </c>
    </row>
    <row r="1132" spans="1:7" x14ac:dyDescent="0.25">
      <c r="A11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240810-LUN001</v>
      </c>
      <c r="B1132" s="1" t="str">
        <f>TEXT(Coffee_sales_clean[[#This Row],[Transaction Date]],"dddd")</f>
        <v>Saturday</v>
      </c>
      <c r="C1132" s="12">
        <v>45514</v>
      </c>
      <c r="D1132" s="4">
        <v>0.49483606481481479</v>
      </c>
      <c r="E11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32" t="s">
        <v>5</v>
      </c>
      <c r="G1132" s="2">
        <v>23.02</v>
      </c>
    </row>
    <row r="1133" spans="1:7" x14ac:dyDescent="0.25">
      <c r="A11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240810-LUN002</v>
      </c>
      <c r="B1133" s="1" t="str">
        <f>TEXT(Coffee_sales_clean[[#This Row],[Transaction Date]],"dddd")</f>
        <v>Saturday</v>
      </c>
      <c r="C1133" s="12">
        <v>45514</v>
      </c>
      <c r="D1133" s="4">
        <v>0.49610571759259259</v>
      </c>
      <c r="E11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33" t="s">
        <v>2</v>
      </c>
      <c r="G1133" s="2">
        <v>23.02</v>
      </c>
    </row>
    <row r="1134" spans="1:7" x14ac:dyDescent="0.25">
      <c r="A11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240810-LUN003</v>
      </c>
      <c r="B1134" s="1" t="str">
        <f>TEXT(Coffee_sales_clean[[#This Row],[Transaction Date]],"dddd")</f>
        <v>Saturday</v>
      </c>
      <c r="C1134" s="12">
        <v>45514</v>
      </c>
      <c r="D1134" s="4">
        <v>0.51054313657407402</v>
      </c>
      <c r="E11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34" t="s">
        <v>0</v>
      </c>
      <c r="G1134" s="2">
        <v>32.82</v>
      </c>
    </row>
    <row r="1135" spans="1:7" x14ac:dyDescent="0.25">
      <c r="A11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240810-LUN004</v>
      </c>
      <c r="B1135" s="1" t="str">
        <f>TEXT(Coffee_sales_clean[[#This Row],[Transaction Date]],"dddd")</f>
        <v>Saturday</v>
      </c>
      <c r="C1135" s="12">
        <v>45514</v>
      </c>
      <c r="D1135" s="4">
        <v>0.52306081018518513</v>
      </c>
      <c r="E11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35" t="s">
        <v>3</v>
      </c>
      <c r="G1135" s="2">
        <v>27.92</v>
      </c>
    </row>
    <row r="1136" spans="1:7" x14ac:dyDescent="0.25">
      <c r="A11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240810-AFT001</v>
      </c>
      <c r="B1136" s="1" t="str">
        <f>TEXT(Coffee_sales_clean[[#This Row],[Transaction Date]],"dddd")</f>
        <v>Saturday</v>
      </c>
      <c r="C1136" s="12">
        <v>45514</v>
      </c>
      <c r="D1136" s="4">
        <v>0.67097320601851851</v>
      </c>
      <c r="E11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36" t="s">
        <v>0</v>
      </c>
      <c r="G1136" s="2">
        <v>32.82</v>
      </c>
    </row>
    <row r="1137" spans="1:7" x14ac:dyDescent="0.25">
      <c r="A11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240810-LAT001</v>
      </c>
      <c r="B1137" s="1" t="str">
        <f>TEXT(Coffee_sales_clean[[#This Row],[Transaction Date]],"dddd")</f>
        <v>Saturday</v>
      </c>
      <c r="C1137" s="12">
        <v>45514</v>
      </c>
      <c r="D1137" s="4">
        <v>0.8866731712962963</v>
      </c>
      <c r="E11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37" t="s">
        <v>4</v>
      </c>
      <c r="G1137" s="2">
        <v>32.82</v>
      </c>
    </row>
    <row r="1138" spans="1:7" x14ac:dyDescent="0.25">
      <c r="A11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240810-LAT002</v>
      </c>
      <c r="B1138" s="1" t="str">
        <f>TEXT(Coffee_sales_clean[[#This Row],[Transaction Date]],"dddd")</f>
        <v>Saturday</v>
      </c>
      <c r="C1138" s="12">
        <v>45514</v>
      </c>
      <c r="D1138" s="4">
        <v>0.88728109953703704</v>
      </c>
      <c r="E11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38" t="s">
        <v>4</v>
      </c>
      <c r="G1138" s="2">
        <v>32.82</v>
      </c>
    </row>
    <row r="1139" spans="1:7" x14ac:dyDescent="0.25">
      <c r="A11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240810-LAT003</v>
      </c>
      <c r="B1139" s="1" t="str">
        <f>TEXT(Coffee_sales_clean[[#This Row],[Transaction Date]],"dddd")</f>
        <v>Saturday</v>
      </c>
      <c r="C1139" s="12">
        <v>45514</v>
      </c>
      <c r="D1139" s="4">
        <v>0.90117496527777774</v>
      </c>
      <c r="E11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39" t="s">
        <v>4</v>
      </c>
      <c r="G1139" s="2">
        <v>32.82</v>
      </c>
    </row>
    <row r="1140" spans="1:7" x14ac:dyDescent="0.25">
      <c r="A11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240811-MOR001</v>
      </c>
      <c r="B1140" s="1" t="str">
        <f>TEXT(Coffee_sales_clean[[#This Row],[Transaction Date]],"dddd")</f>
        <v>Sunday</v>
      </c>
      <c r="C1140" s="12">
        <v>45515</v>
      </c>
      <c r="D1140" s="4">
        <v>0.41153460648148149</v>
      </c>
      <c r="E11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40" t="s">
        <v>0</v>
      </c>
      <c r="G1140" s="2">
        <v>32.82</v>
      </c>
    </row>
    <row r="1141" spans="1:7" x14ac:dyDescent="0.25">
      <c r="A11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240811-MOR002</v>
      </c>
      <c r="B1141" s="1" t="str">
        <f>TEXT(Coffee_sales_clean[[#This Row],[Transaction Date]],"dddd")</f>
        <v>Sunday</v>
      </c>
      <c r="C1141" s="12">
        <v>45515</v>
      </c>
      <c r="D1141" s="4">
        <v>0.41230976851851853</v>
      </c>
      <c r="E11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41" t="s">
        <v>0</v>
      </c>
      <c r="G1141" s="2">
        <v>32.82</v>
      </c>
    </row>
    <row r="1142" spans="1:7" x14ac:dyDescent="0.25">
      <c r="A11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240811-MOR003</v>
      </c>
      <c r="B1142" s="1" t="str">
        <f>TEXT(Coffee_sales_clean[[#This Row],[Transaction Date]],"dddd")</f>
        <v>Sunday</v>
      </c>
      <c r="C1142" s="12">
        <v>45515</v>
      </c>
      <c r="D1142" s="4">
        <v>0.42874578703703703</v>
      </c>
      <c r="E11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42" t="s">
        <v>3</v>
      </c>
      <c r="G1142" s="2">
        <v>27.92</v>
      </c>
    </row>
    <row r="1143" spans="1:7" x14ac:dyDescent="0.25">
      <c r="A11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240811-LUN001</v>
      </c>
      <c r="B1143" s="1" t="str">
        <f>TEXT(Coffee_sales_clean[[#This Row],[Transaction Date]],"dddd")</f>
        <v>Sunday</v>
      </c>
      <c r="C1143" s="12">
        <v>45515</v>
      </c>
      <c r="D1143" s="4">
        <v>0.49769842592592595</v>
      </c>
      <c r="E11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43" t="s">
        <v>7</v>
      </c>
      <c r="G1143" s="2">
        <v>32.82</v>
      </c>
    </row>
    <row r="1144" spans="1:7" x14ac:dyDescent="0.25">
      <c r="A11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240811-LUN002</v>
      </c>
      <c r="B1144" s="1" t="str">
        <f>TEXT(Coffee_sales_clean[[#This Row],[Transaction Date]],"dddd")</f>
        <v>Sunday</v>
      </c>
      <c r="C1144" s="12">
        <v>45515</v>
      </c>
      <c r="D1144" s="4">
        <v>0.49839431712962962</v>
      </c>
      <c r="E11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44" t="s">
        <v>3</v>
      </c>
      <c r="G1144" s="2">
        <v>27.92</v>
      </c>
    </row>
    <row r="1145" spans="1:7" x14ac:dyDescent="0.25">
      <c r="A11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240811-LUN003</v>
      </c>
      <c r="B1145" s="1" t="str">
        <f>TEXT(Coffee_sales_clean[[#This Row],[Transaction Date]],"dddd")</f>
        <v>Sunday</v>
      </c>
      <c r="C1145" s="12">
        <v>45515</v>
      </c>
      <c r="D1145" s="4">
        <v>0.51411539351851854</v>
      </c>
      <c r="E11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45" t="s">
        <v>5</v>
      </c>
      <c r="G1145" s="2">
        <v>23.02</v>
      </c>
    </row>
    <row r="1146" spans="1:7" x14ac:dyDescent="0.25">
      <c r="A11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240811-AFT001</v>
      </c>
      <c r="B1146" s="1" t="str">
        <f>TEXT(Coffee_sales_clean[[#This Row],[Transaction Date]],"dddd")</f>
        <v>Sunday</v>
      </c>
      <c r="C1146" s="12">
        <v>45515</v>
      </c>
      <c r="D1146" s="4">
        <v>0.66240222222222223</v>
      </c>
      <c r="E11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46" t="s">
        <v>0</v>
      </c>
      <c r="G1146" s="2">
        <v>32.82</v>
      </c>
    </row>
    <row r="1147" spans="1:7" x14ac:dyDescent="0.25">
      <c r="A11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240811-AFT002</v>
      </c>
      <c r="B1147" s="1" t="str">
        <f>TEXT(Coffee_sales_clean[[#This Row],[Transaction Date]],"dddd")</f>
        <v>Sunday</v>
      </c>
      <c r="C1147" s="12">
        <v>45515</v>
      </c>
      <c r="D1147" s="4">
        <v>0.66336635416666667</v>
      </c>
      <c r="E11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47" t="s">
        <v>3</v>
      </c>
      <c r="G1147" s="2">
        <v>27.92</v>
      </c>
    </row>
    <row r="1148" spans="1:7" x14ac:dyDescent="0.25">
      <c r="A11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240811-AFT003</v>
      </c>
      <c r="B1148" s="1" t="str">
        <f>TEXT(Coffee_sales_clean[[#This Row],[Transaction Date]],"dddd")</f>
        <v>Sunday</v>
      </c>
      <c r="C1148" s="12">
        <v>45515</v>
      </c>
      <c r="D1148" s="4">
        <v>0.66420945601851855</v>
      </c>
      <c r="E11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48" t="s">
        <v>4</v>
      </c>
      <c r="G1148" s="2">
        <v>32.82</v>
      </c>
    </row>
    <row r="1149" spans="1:7" x14ac:dyDescent="0.25">
      <c r="A11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240811-AFT004</v>
      </c>
      <c r="B1149" s="1" t="str">
        <f>TEXT(Coffee_sales_clean[[#This Row],[Transaction Date]],"dddd")</f>
        <v>Sunday</v>
      </c>
      <c r="C1149" s="12">
        <v>45515</v>
      </c>
      <c r="D1149" s="4">
        <v>0.68582321759259257</v>
      </c>
      <c r="E11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49" t="s">
        <v>7</v>
      </c>
      <c r="G1149" s="2">
        <v>32.82</v>
      </c>
    </row>
    <row r="1150" spans="1:7" x14ac:dyDescent="0.25">
      <c r="A11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240811-AFT005</v>
      </c>
      <c r="B1150" s="1" t="str">
        <f>TEXT(Coffee_sales_clean[[#This Row],[Transaction Date]],"dddd")</f>
        <v>Sunday</v>
      </c>
      <c r="C1150" s="12">
        <v>45515</v>
      </c>
      <c r="D1150" s="4">
        <v>0.68655435185185187</v>
      </c>
      <c r="E11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50" t="s">
        <v>6</v>
      </c>
      <c r="G1150" s="2">
        <v>18.12</v>
      </c>
    </row>
    <row r="1151" spans="1:7" x14ac:dyDescent="0.25">
      <c r="A11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240811-LAT001</v>
      </c>
      <c r="B1151" s="1" t="str">
        <f>TEXT(Coffee_sales_clean[[#This Row],[Transaction Date]],"dddd")</f>
        <v>Sunday</v>
      </c>
      <c r="C1151" s="12">
        <v>45515</v>
      </c>
      <c r="D1151" s="4">
        <v>0.89621005787037034</v>
      </c>
      <c r="E11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51" t="s">
        <v>5</v>
      </c>
      <c r="G1151" s="2">
        <v>23.02</v>
      </c>
    </row>
    <row r="1152" spans="1:7" x14ac:dyDescent="0.25">
      <c r="A11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240811-LAT002</v>
      </c>
      <c r="B1152" s="1" t="str">
        <f>TEXT(Coffee_sales_clean[[#This Row],[Transaction Date]],"dddd")</f>
        <v>Sunday</v>
      </c>
      <c r="C1152" s="12">
        <v>45515</v>
      </c>
      <c r="D1152" s="4">
        <v>0.90357719907407408</v>
      </c>
      <c r="E11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52" t="s">
        <v>0</v>
      </c>
      <c r="G1152" s="2">
        <v>32.82</v>
      </c>
    </row>
    <row r="1153" spans="1:7" x14ac:dyDescent="0.25">
      <c r="A11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240811-LAT003</v>
      </c>
      <c r="B1153" s="1" t="str">
        <f>TEXT(Coffee_sales_clean[[#This Row],[Transaction Date]],"dddd")</f>
        <v>Sunday</v>
      </c>
      <c r="C1153" s="12">
        <v>45515</v>
      </c>
      <c r="D1153" s="4">
        <v>0.9049781018518519</v>
      </c>
      <c r="E11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53" t="s">
        <v>0</v>
      </c>
      <c r="G1153" s="2">
        <v>32.82</v>
      </c>
    </row>
    <row r="1154" spans="1:7" x14ac:dyDescent="0.25">
      <c r="A11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240811-LAT004</v>
      </c>
      <c r="B1154" s="1" t="str">
        <f>TEXT(Coffee_sales_clean[[#This Row],[Transaction Date]],"dddd")</f>
        <v>Sunday</v>
      </c>
      <c r="C1154" s="12">
        <v>45515</v>
      </c>
      <c r="D1154" s="4">
        <v>0.94409621527777776</v>
      </c>
      <c r="E11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54" t="s">
        <v>7</v>
      </c>
      <c r="G1154" s="2">
        <v>32.82</v>
      </c>
    </row>
    <row r="1155" spans="1:7" x14ac:dyDescent="0.25">
      <c r="A11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240812-MOR001</v>
      </c>
      <c r="B1155" s="1" t="str">
        <f>TEXT(Coffee_sales_clean[[#This Row],[Transaction Date]],"dddd")</f>
        <v>Monday</v>
      </c>
      <c r="C1155" s="12">
        <v>45516</v>
      </c>
      <c r="D1155" s="4">
        <v>0.3516140972222222</v>
      </c>
      <c r="E11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55" t="s">
        <v>1</v>
      </c>
      <c r="G1155" s="2">
        <v>32.82</v>
      </c>
    </row>
    <row r="1156" spans="1:7" x14ac:dyDescent="0.25">
      <c r="A11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240812-LUN001</v>
      </c>
      <c r="B1156" s="1" t="str">
        <f>TEXT(Coffee_sales_clean[[#This Row],[Transaction Date]],"dddd")</f>
        <v>Monday</v>
      </c>
      <c r="C1156" s="12">
        <v>45516</v>
      </c>
      <c r="D1156" s="4">
        <v>0.46880521990740742</v>
      </c>
      <c r="E11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56" t="s">
        <v>3</v>
      </c>
      <c r="G1156" s="2">
        <v>27.92</v>
      </c>
    </row>
    <row r="1157" spans="1:7" x14ac:dyDescent="0.25">
      <c r="A11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240812-LUN002</v>
      </c>
      <c r="B1157" s="1" t="str">
        <f>TEXT(Coffee_sales_clean[[#This Row],[Transaction Date]],"dddd")</f>
        <v>Monday</v>
      </c>
      <c r="C1157" s="12">
        <v>45516</v>
      </c>
      <c r="D1157" s="4">
        <v>0.47186936342592595</v>
      </c>
      <c r="E11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57" t="s">
        <v>2</v>
      </c>
      <c r="G1157" s="2">
        <v>23.02</v>
      </c>
    </row>
    <row r="1158" spans="1:7" x14ac:dyDescent="0.25">
      <c r="A11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240812-LUN003</v>
      </c>
      <c r="B1158" s="1" t="str">
        <f>TEXT(Coffee_sales_clean[[#This Row],[Transaction Date]],"dddd")</f>
        <v>Monday</v>
      </c>
      <c r="C1158" s="12">
        <v>45516</v>
      </c>
      <c r="D1158" s="4">
        <v>0.47249583333333334</v>
      </c>
      <c r="E11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58" t="s">
        <v>0</v>
      </c>
      <c r="G1158" s="2">
        <v>32.82</v>
      </c>
    </row>
    <row r="1159" spans="1:7" x14ac:dyDescent="0.25">
      <c r="A11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240812-LUN004</v>
      </c>
      <c r="B1159" s="1" t="str">
        <f>TEXT(Coffee_sales_clean[[#This Row],[Transaction Date]],"dddd")</f>
        <v>Monday</v>
      </c>
      <c r="C1159" s="12">
        <v>45516</v>
      </c>
      <c r="D1159" s="4">
        <v>0.48921740740740743</v>
      </c>
      <c r="E11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59" t="s">
        <v>0</v>
      </c>
      <c r="G1159" s="2">
        <v>32.82</v>
      </c>
    </row>
    <row r="1160" spans="1:7" x14ac:dyDescent="0.25">
      <c r="A11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240812-AFT001</v>
      </c>
      <c r="B1160" s="1" t="str">
        <f>TEXT(Coffee_sales_clean[[#This Row],[Transaction Date]],"dddd")</f>
        <v>Monday</v>
      </c>
      <c r="C1160" s="12">
        <v>45516</v>
      </c>
      <c r="D1160" s="4">
        <v>0.58615045138888888</v>
      </c>
      <c r="E11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60" t="s">
        <v>6</v>
      </c>
      <c r="G1160" s="2">
        <v>18.12</v>
      </c>
    </row>
    <row r="1161" spans="1:7" x14ac:dyDescent="0.25">
      <c r="A11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240812-AFT002</v>
      </c>
      <c r="B1161" s="1" t="str">
        <f>TEXT(Coffee_sales_clean[[#This Row],[Transaction Date]],"dddd")</f>
        <v>Monday</v>
      </c>
      <c r="C1161" s="12">
        <v>45516</v>
      </c>
      <c r="D1161" s="4">
        <v>0.58688577546296294</v>
      </c>
      <c r="E11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61" t="s">
        <v>3</v>
      </c>
      <c r="G1161" s="2">
        <v>27.92</v>
      </c>
    </row>
    <row r="1162" spans="1:7" x14ac:dyDescent="0.25">
      <c r="A11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240812-AFT003</v>
      </c>
      <c r="B1162" s="1" t="str">
        <f>TEXT(Coffee_sales_clean[[#This Row],[Transaction Date]],"dddd")</f>
        <v>Monday</v>
      </c>
      <c r="C1162" s="12">
        <v>45516</v>
      </c>
      <c r="D1162" s="4">
        <v>0.64829988425925922</v>
      </c>
      <c r="E11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62" t="s">
        <v>3</v>
      </c>
      <c r="G1162" s="2">
        <v>27.92</v>
      </c>
    </row>
    <row r="1163" spans="1:7" x14ac:dyDescent="0.25">
      <c r="A11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240812-EVE001</v>
      </c>
      <c r="B1163" s="1" t="str">
        <f>TEXT(Coffee_sales_clean[[#This Row],[Transaction Date]],"dddd")</f>
        <v>Monday</v>
      </c>
      <c r="C1163" s="12">
        <v>45516</v>
      </c>
      <c r="D1163" s="4">
        <v>0.75352812499999999</v>
      </c>
      <c r="E11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63" t="s">
        <v>3</v>
      </c>
      <c r="G1163" s="2">
        <v>27.92</v>
      </c>
    </row>
    <row r="1164" spans="1:7" x14ac:dyDescent="0.25">
      <c r="A11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240812-LAT001</v>
      </c>
      <c r="B1164" s="1" t="str">
        <f>TEXT(Coffee_sales_clean[[#This Row],[Transaction Date]],"dddd")</f>
        <v>Monday</v>
      </c>
      <c r="C1164" s="12">
        <v>45516</v>
      </c>
      <c r="D1164" s="4">
        <v>0.89293230324074069</v>
      </c>
      <c r="E11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64" t="s">
        <v>3</v>
      </c>
      <c r="G1164" s="2">
        <v>27.92</v>
      </c>
    </row>
    <row r="1165" spans="1:7" x14ac:dyDescent="0.25">
      <c r="A11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240812-LAT002</v>
      </c>
      <c r="B1165" s="1" t="str">
        <f>TEXT(Coffee_sales_clean[[#This Row],[Transaction Date]],"dddd")</f>
        <v>Monday</v>
      </c>
      <c r="C1165" s="12">
        <v>45516</v>
      </c>
      <c r="D1165" s="4">
        <v>0.90113473379629627</v>
      </c>
      <c r="E11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65" t="s">
        <v>0</v>
      </c>
      <c r="G1165" s="2">
        <v>32.82</v>
      </c>
    </row>
    <row r="1166" spans="1:7" x14ac:dyDescent="0.25">
      <c r="A11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240812-LAT003</v>
      </c>
      <c r="B1166" s="1" t="str">
        <f>TEXT(Coffee_sales_clean[[#This Row],[Transaction Date]],"dddd")</f>
        <v>Monday</v>
      </c>
      <c r="C1166" s="12">
        <v>45516</v>
      </c>
      <c r="D1166" s="4">
        <v>0.95717675925925927</v>
      </c>
      <c r="E11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66" t="s">
        <v>7</v>
      </c>
      <c r="G1166" s="2">
        <v>32.82</v>
      </c>
    </row>
    <row r="1167" spans="1:7" x14ac:dyDescent="0.25">
      <c r="A11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240812-LAT004</v>
      </c>
      <c r="B1167" s="1" t="str">
        <f>TEXT(Coffee_sales_clean[[#This Row],[Transaction Date]],"dddd")</f>
        <v>Monday</v>
      </c>
      <c r="C1167" s="12">
        <v>45516</v>
      </c>
      <c r="D1167" s="4">
        <v>0.95785351851851852</v>
      </c>
      <c r="E11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67" t="s">
        <v>7</v>
      </c>
      <c r="G1167" s="2">
        <v>32.82</v>
      </c>
    </row>
    <row r="1168" spans="1:7" x14ac:dyDescent="0.25">
      <c r="A11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240813-MOR001</v>
      </c>
      <c r="B1168" s="1" t="str">
        <f>TEXT(Coffee_sales_clean[[#This Row],[Transaction Date]],"dddd")</f>
        <v>Tuesday</v>
      </c>
      <c r="C1168" s="12">
        <v>45517</v>
      </c>
      <c r="D1168" s="4">
        <v>0.36423827546296295</v>
      </c>
      <c r="E11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68" t="s">
        <v>3</v>
      </c>
      <c r="G1168" s="2">
        <v>27.92</v>
      </c>
    </row>
    <row r="1169" spans="1:7" x14ac:dyDescent="0.25">
      <c r="A11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240813-MOR002</v>
      </c>
      <c r="B1169" s="1" t="str">
        <f>TEXT(Coffee_sales_clean[[#This Row],[Transaction Date]],"dddd")</f>
        <v>Tuesday</v>
      </c>
      <c r="C1169" s="12">
        <v>45517</v>
      </c>
      <c r="D1169" s="4">
        <v>0.3849721990740741</v>
      </c>
      <c r="E11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69" t="s">
        <v>3</v>
      </c>
      <c r="G1169" s="2">
        <v>27.92</v>
      </c>
    </row>
    <row r="1170" spans="1:7" x14ac:dyDescent="0.25">
      <c r="A11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240813-MOR003</v>
      </c>
      <c r="B1170" s="1" t="str">
        <f>TEXT(Coffee_sales_clean[[#This Row],[Transaction Date]],"dddd")</f>
        <v>Tuesday</v>
      </c>
      <c r="C1170" s="12">
        <v>45517</v>
      </c>
      <c r="D1170" s="4">
        <v>0.40690243055555558</v>
      </c>
      <c r="E11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70" t="s">
        <v>3</v>
      </c>
      <c r="G1170" s="2">
        <v>27.92</v>
      </c>
    </row>
    <row r="1171" spans="1:7" x14ac:dyDescent="0.25">
      <c r="A11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240813-MOR004</v>
      </c>
      <c r="B1171" s="1" t="str">
        <f>TEXT(Coffee_sales_clean[[#This Row],[Transaction Date]],"dddd")</f>
        <v>Tuesday</v>
      </c>
      <c r="C1171" s="12">
        <v>45517</v>
      </c>
      <c r="D1171" s="4">
        <v>0.44593487268518517</v>
      </c>
      <c r="E11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71" t="s">
        <v>5</v>
      </c>
      <c r="G1171" s="2">
        <v>23.02</v>
      </c>
    </row>
    <row r="1172" spans="1:7" x14ac:dyDescent="0.25">
      <c r="A11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240813-LUN001</v>
      </c>
      <c r="B1172" s="1" t="str">
        <f>TEXT(Coffee_sales_clean[[#This Row],[Transaction Date]],"dddd")</f>
        <v>Tuesday</v>
      </c>
      <c r="C1172" s="12">
        <v>45517</v>
      </c>
      <c r="D1172" s="4">
        <v>0.49985662037037037</v>
      </c>
      <c r="E11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72" t="s">
        <v>0</v>
      </c>
      <c r="G1172" s="2">
        <v>32.82</v>
      </c>
    </row>
    <row r="1173" spans="1:7" x14ac:dyDescent="0.25">
      <c r="A11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240813-LUN002</v>
      </c>
      <c r="B1173" s="1" t="str">
        <f>TEXT(Coffee_sales_clean[[#This Row],[Transaction Date]],"dddd")</f>
        <v>Tuesday</v>
      </c>
      <c r="C1173" s="12">
        <v>45517</v>
      </c>
      <c r="D1173" s="4">
        <v>0.54284128472222226</v>
      </c>
      <c r="E11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73" t="s">
        <v>3</v>
      </c>
      <c r="G1173" s="2">
        <v>27.92</v>
      </c>
    </row>
    <row r="1174" spans="1:7" x14ac:dyDescent="0.25">
      <c r="A11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240813-AFT001</v>
      </c>
      <c r="B1174" s="1" t="str">
        <f>TEXT(Coffee_sales_clean[[#This Row],[Transaction Date]],"dddd")</f>
        <v>Tuesday</v>
      </c>
      <c r="C1174" s="12">
        <v>45517</v>
      </c>
      <c r="D1174" s="4">
        <v>0.61504269675925927</v>
      </c>
      <c r="E11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74" t="s">
        <v>0</v>
      </c>
      <c r="G1174" s="2">
        <v>32.82</v>
      </c>
    </row>
    <row r="1175" spans="1:7" x14ac:dyDescent="0.25">
      <c r="A11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240813-AFT002</v>
      </c>
      <c r="B1175" s="1" t="str">
        <f>TEXT(Coffee_sales_clean[[#This Row],[Transaction Date]],"dddd")</f>
        <v>Tuesday</v>
      </c>
      <c r="C1175" s="12">
        <v>45517</v>
      </c>
      <c r="D1175" s="4">
        <v>0.65829517361111112</v>
      </c>
      <c r="E11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75" t="s">
        <v>7</v>
      </c>
      <c r="G1175" s="2">
        <v>32.82</v>
      </c>
    </row>
    <row r="1176" spans="1:7" x14ac:dyDescent="0.25">
      <c r="A11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240813-AFT003</v>
      </c>
      <c r="B1176" s="1" t="str">
        <f>TEXT(Coffee_sales_clean[[#This Row],[Transaction Date]],"dddd")</f>
        <v>Tuesday</v>
      </c>
      <c r="C1176" s="12">
        <v>45517</v>
      </c>
      <c r="D1176" s="4">
        <v>0.66353679398148147</v>
      </c>
      <c r="E11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76" t="s">
        <v>3</v>
      </c>
      <c r="G1176" s="2">
        <v>27.92</v>
      </c>
    </row>
    <row r="1177" spans="1:7" x14ac:dyDescent="0.25">
      <c r="A11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240813-LAT001</v>
      </c>
      <c r="B1177" s="1" t="str">
        <f>TEXT(Coffee_sales_clean[[#This Row],[Transaction Date]],"dddd")</f>
        <v>Tuesday</v>
      </c>
      <c r="C1177" s="12">
        <v>45517</v>
      </c>
      <c r="D1177" s="4">
        <v>0.85387188657407409</v>
      </c>
      <c r="E11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77" t="s">
        <v>0</v>
      </c>
      <c r="G1177" s="2">
        <v>32.82</v>
      </c>
    </row>
    <row r="1178" spans="1:7" x14ac:dyDescent="0.25">
      <c r="A11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240813-LAT002</v>
      </c>
      <c r="B1178" s="1" t="str">
        <f>TEXT(Coffee_sales_clean[[#This Row],[Transaction Date]],"dddd")</f>
        <v>Tuesday</v>
      </c>
      <c r="C1178" s="12">
        <v>45517</v>
      </c>
      <c r="D1178" s="4">
        <v>0.8545966435185185</v>
      </c>
      <c r="E11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78" t="s">
        <v>4</v>
      </c>
      <c r="G1178" s="2">
        <v>32.82</v>
      </c>
    </row>
    <row r="1179" spans="1:7" x14ac:dyDescent="0.25">
      <c r="A11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240813-LAT003</v>
      </c>
      <c r="B1179" s="1" t="str">
        <f>TEXT(Coffee_sales_clean[[#This Row],[Transaction Date]],"dddd")</f>
        <v>Tuesday</v>
      </c>
      <c r="C1179" s="12">
        <v>45517</v>
      </c>
      <c r="D1179" s="4">
        <v>0.86415498842592597</v>
      </c>
      <c r="E11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79" t="s">
        <v>7</v>
      </c>
      <c r="G1179" s="2">
        <v>32.82</v>
      </c>
    </row>
    <row r="1180" spans="1:7" x14ac:dyDescent="0.25">
      <c r="A11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240813-LAT004</v>
      </c>
      <c r="B1180" s="1" t="str">
        <f>TEXT(Coffee_sales_clean[[#This Row],[Transaction Date]],"dddd")</f>
        <v>Tuesday</v>
      </c>
      <c r="C1180" s="12">
        <v>45517</v>
      </c>
      <c r="D1180" s="4">
        <v>0.87551722222222217</v>
      </c>
      <c r="E11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80" t="s">
        <v>5</v>
      </c>
      <c r="G1180" s="2">
        <v>23.02</v>
      </c>
    </row>
    <row r="1181" spans="1:7" x14ac:dyDescent="0.25">
      <c r="A11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240814-MOR001</v>
      </c>
      <c r="B1181" s="1" t="str">
        <f>TEXT(Coffee_sales_clean[[#This Row],[Transaction Date]],"dddd")</f>
        <v>Wednesday</v>
      </c>
      <c r="C1181" s="12">
        <v>45518</v>
      </c>
      <c r="D1181" s="4">
        <v>0.31652896990740742</v>
      </c>
      <c r="E11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81" t="s">
        <v>0</v>
      </c>
      <c r="G1181" s="2">
        <v>32.82</v>
      </c>
    </row>
    <row r="1182" spans="1:7" x14ac:dyDescent="0.25">
      <c r="A11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240814-MOR002</v>
      </c>
      <c r="B1182" s="1" t="str">
        <f>TEXT(Coffee_sales_clean[[#This Row],[Transaction Date]],"dddd")</f>
        <v>Wednesday</v>
      </c>
      <c r="C1182" s="12">
        <v>45518</v>
      </c>
      <c r="D1182" s="4">
        <v>0.31731017361111113</v>
      </c>
      <c r="E11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82" t="s">
        <v>7</v>
      </c>
      <c r="G1182" s="2">
        <v>32.82</v>
      </c>
    </row>
    <row r="1183" spans="1:7" x14ac:dyDescent="0.25">
      <c r="A11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240814-MOR003</v>
      </c>
      <c r="B1183" s="1" t="str">
        <f>TEXT(Coffee_sales_clean[[#This Row],[Transaction Date]],"dddd")</f>
        <v>Wednesday</v>
      </c>
      <c r="C1183" s="12">
        <v>45518</v>
      </c>
      <c r="D1183" s="4">
        <v>0.42325376157407407</v>
      </c>
      <c r="E11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83" t="s">
        <v>5</v>
      </c>
      <c r="G1183" s="2">
        <v>23.02</v>
      </c>
    </row>
    <row r="1184" spans="1:7" x14ac:dyDescent="0.25">
      <c r="A11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240814-LUN001</v>
      </c>
      <c r="B1184" s="1" t="str">
        <f>TEXT(Coffee_sales_clean[[#This Row],[Transaction Date]],"dddd")</f>
        <v>Wednesday</v>
      </c>
      <c r="C1184" s="12">
        <v>45518</v>
      </c>
      <c r="D1184" s="4">
        <v>0.48550789351851853</v>
      </c>
      <c r="E11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84" t="s">
        <v>6</v>
      </c>
      <c r="G1184" s="2">
        <v>18.12</v>
      </c>
    </row>
    <row r="1185" spans="1:7" x14ac:dyDescent="0.25">
      <c r="A11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240814-LUN002</v>
      </c>
      <c r="B1185" s="1" t="str">
        <f>TEXT(Coffee_sales_clean[[#This Row],[Transaction Date]],"dddd")</f>
        <v>Wednesday</v>
      </c>
      <c r="C1185" s="12">
        <v>45518</v>
      </c>
      <c r="D1185" s="4">
        <v>0.53422396990740739</v>
      </c>
      <c r="E11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85" t="s">
        <v>2</v>
      </c>
      <c r="G1185" s="2">
        <v>23.02</v>
      </c>
    </row>
    <row r="1186" spans="1:7" x14ac:dyDescent="0.25">
      <c r="A11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240814-LUN003</v>
      </c>
      <c r="B1186" s="1" t="str">
        <f>TEXT(Coffee_sales_clean[[#This Row],[Transaction Date]],"dddd")</f>
        <v>Wednesday</v>
      </c>
      <c r="C1186" s="12">
        <v>45518</v>
      </c>
      <c r="D1186" s="4">
        <v>0.5354730324074074</v>
      </c>
      <c r="E11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86" t="s">
        <v>2</v>
      </c>
      <c r="G1186" s="2">
        <v>23.02</v>
      </c>
    </row>
    <row r="1187" spans="1:7" x14ac:dyDescent="0.25">
      <c r="A11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240814-AFT001</v>
      </c>
      <c r="B1187" s="1" t="str">
        <f>TEXT(Coffee_sales_clean[[#This Row],[Transaction Date]],"dddd")</f>
        <v>Wednesday</v>
      </c>
      <c r="C1187" s="12">
        <v>45518</v>
      </c>
      <c r="D1187" s="4">
        <v>0.63989884259259255</v>
      </c>
      <c r="E11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187" t="s">
        <v>0</v>
      </c>
      <c r="G1187" s="2">
        <v>32.82</v>
      </c>
    </row>
    <row r="1188" spans="1:7" x14ac:dyDescent="0.25">
      <c r="A11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240814-EVE001</v>
      </c>
      <c r="B1188" s="1" t="str">
        <f>TEXT(Coffee_sales_clean[[#This Row],[Transaction Date]],"dddd")</f>
        <v>Wednesday</v>
      </c>
      <c r="C1188" s="12">
        <v>45518</v>
      </c>
      <c r="D1188" s="4">
        <v>0.72526374999999998</v>
      </c>
      <c r="E11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88" t="s">
        <v>2</v>
      </c>
      <c r="G1188" s="2">
        <v>23.02</v>
      </c>
    </row>
    <row r="1189" spans="1:7" x14ac:dyDescent="0.25">
      <c r="A11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240814-EVE002</v>
      </c>
      <c r="B1189" s="1" t="str">
        <f>TEXT(Coffee_sales_clean[[#This Row],[Transaction Date]],"dddd")</f>
        <v>Wednesday</v>
      </c>
      <c r="C1189" s="12">
        <v>45518</v>
      </c>
      <c r="D1189" s="4">
        <v>0.75698753472222224</v>
      </c>
      <c r="E11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89" t="s">
        <v>5</v>
      </c>
      <c r="G1189" s="2">
        <v>23.02</v>
      </c>
    </row>
    <row r="1190" spans="1:7" x14ac:dyDescent="0.25">
      <c r="A11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240814-EVE003</v>
      </c>
      <c r="B1190" s="1" t="str">
        <f>TEXT(Coffee_sales_clean[[#This Row],[Transaction Date]],"dddd")</f>
        <v>Wednesday</v>
      </c>
      <c r="C1190" s="12">
        <v>45518</v>
      </c>
      <c r="D1190" s="4">
        <v>0.79118378472222217</v>
      </c>
      <c r="E11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90" t="s">
        <v>3</v>
      </c>
      <c r="G1190" s="2">
        <v>27.92</v>
      </c>
    </row>
    <row r="1191" spans="1:7" x14ac:dyDescent="0.25">
      <c r="A11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240814-EVE004</v>
      </c>
      <c r="B1191" s="1" t="str">
        <f>TEXT(Coffee_sales_clean[[#This Row],[Transaction Date]],"dddd")</f>
        <v>Wednesday</v>
      </c>
      <c r="C1191" s="12">
        <v>45518</v>
      </c>
      <c r="D1191" s="4">
        <v>0.81587651620370372</v>
      </c>
      <c r="E11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91" t="s">
        <v>0</v>
      </c>
      <c r="G1191" s="2">
        <v>32.82</v>
      </c>
    </row>
    <row r="1192" spans="1:7" x14ac:dyDescent="0.25">
      <c r="A11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240814-EVE005</v>
      </c>
      <c r="B1192" s="1" t="str">
        <f>TEXT(Coffee_sales_clean[[#This Row],[Transaction Date]],"dddd")</f>
        <v>Wednesday</v>
      </c>
      <c r="C1192" s="12">
        <v>45518</v>
      </c>
      <c r="D1192" s="4">
        <v>0.81653408564814811</v>
      </c>
      <c r="E11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192" t="s">
        <v>5</v>
      </c>
      <c r="G1192" s="2">
        <v>23.02</v>
      </c>
    </row>
    <row r="1193" spans="1:7" x14ac:dyDescent="0.25">
      <c r="A11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240814-LAT001</v>
      </c>
      <c r="B1193" s="1" t="str">
        <f>TEXT(Coffee_sales_clean[[#This Row],[Transaction Date]],"dddd")</f>
        <v>Wednesday</v>
      </c>
      <c r="C1193" s="12">
        <v>45518</v>
      </c>
      <c r="D1193" s="4">
        <v>0.9038544097222222</v>
      </c>
      <c r="E11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193" t="s">
        <v>0</v>
      </c>
      <c r="G1193" s="2">
        <v>32.82</v>
      </c>
    </row>
    <row r="1194" spans="1:7" x14ac:dyDescent="0.25">
      <c r="A11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240815-MOR001</v>
      </c>
      <c r="B1194" s="1" t="str">
        <f>TEXT(Coffee_sales_clean[[#This Row],[Transaction Date]],"dddd")</f>
        <v>Thursday</v>
      </c>
      <c r="C1194" s="12">
        <v>45519</v>
      </c>
      <c r="D1194" s="4">
        <v>0.40012908564814814</v>
      </c>
      <c r="E11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94" t="s">
        <v>5</v>
      </c>
      <c r="G1194" s="2">
        <v>23.02</v>
      </c>
    </row>
    <row r="1195" spans="1:7" x14ac:dyDescent="0.25">
      <c r="A11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240815-MOR002</v>
      </c>
      <c r="B1195" s="1" t="str">
        <f>TEXT(Coffee_sales_clean[[#This Row],[Transaction Date]],"dddd")</f>
        <v>Thursday</v>
      </c>
      <c r="C1195" s="12">
        <v>45519</v>
      </c>
      <c r="D1195" s="4">
        <v>0.40071958333333335</v>
      </c>
      <c r="E11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95" t="s">
        <v>7</v>
      </c>
      <c r="G1195" s="2">
        <v>32.82</v>
      </c>
    </row>
    <row r="1196" spans="1:7" x14ac:dyDescent="0.25">
      <c r="A11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240815-MOR003</v>
      </c>
      <c r="B1196" s="1" t="str">
        <f>TEXT(Coffee_sales_clean[[#This Row],[Transaction Date]],"dddd")</f>
        <v>Thursday</v>
      </c>
      <c r="C1196" s="12">
        <v>45519</v>
      </c>
      <c r="D1196" s="4">
        <v>0.40144563657407406</v>
      </c>
      <c r="E11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96" t="s">
        <v>1</v>
      </c>
      <c r="G1196" s="2">
        <v>32.82</v>
      </c>
    </row>
    <row r="1197" spans="1:7" x14ac:dyDescent="0.25">
      <c r="A11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240815-MOR004</v>
      </c>
      <c r="B1197" s="1" t="str">
        <f>TEXT(Coffee_sales_clean[[#This Row],[Transaction Date]],"dddd")</f>
        <v>Thursday</v>
      </c>
      <c r="C1197" s="12">
        <v>45519</v>
      </c>
      <c r="D1197" s="4">
        <v>0.40196452546296296</v>
      </c>
      <c r="E11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197" t="s">
        <v>0</v>
      </c>
      <c r="G1197" s="2">
        <v>32.82</v>
      </c>
    </row>
    <row r="1198" spans="1:7" x14ac:dyDescent="0.25">
      <c r="A11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240815-LUN001</v>
      </c>
      <c r="B1198" s="1" t="str">
        <f>TEXT(Coffee_sales_clean[[#This Row],[Transaction Date]],"dddd")</f>
        <v>Thursday</v>
      </c>
      <c r="C1198" s="12">
        <v>45519</v>
      </c>
      <c r="D1198" s="4">
        <v>0.5268236458333333</v>
      </c>
      <c r="E11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98" t="s">
        <v>0</v>
      </c>
      <c r="G1198" s="2">
        <v>32.82</v>
      </c>
    </row>
    <row r="1199" spans="1:7" x14ac:dyDescent="0.25">
      <c r="A11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240815-LUN002</v>
      </c>
      <c r="B1199" s="1" t="str">
        <f>TEXT(Coffee_sales_clean[[#This Row],[Transaction Date]],"dddd")</f>
        <v>Thursday</v>
      </c>
      <c r="C1199" s="12">
        <v>45519</v>
      </c>
      <c r="D1199" s="4">
        <v>0.57515741898148143</v>
      </c>
      <c r="E11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199" t="s">
        <v>0</v>
      </c>
      <c r="G1199" s="2">
        <v>32.82</v>
      </c>
    </row>
    <row r="1200" spans="1:7" x14ac:dyDescent="0.25">
      <c r="A12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240815-AFT001</v>
      </c>
      <c r="B1200" s="1" t="str">
        <f>TEXT(Coffee_sales_clean[[#This Row],[Transaction Date]],"dddd")</f>
        <v>Thursday</v>
      </c>
      <c r="C1200" s="12">
        <v>45519</v>
      </c>
      <c r="D1200" s="4">
        <v>0.59569656250000003</v>
      </c>
      <c r="E12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00" t="s">
        <v>2</v>
      </c>
      <c r="G1200" s="2">
        <v>23.02</v>
      </c>
    </row>
    <row r="1201" spans="1:7" x14ac:dyDescent="0.25">
      <c r="A12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240815-AFT002</v>
      </c>
      <c r="B1201" s="1" t="str">
        <f>TEXT(Coffee_sales_clean[[#This Row],[Transaction Date]],"dddd")</f>
        <v>Thursday</v>
      </c>
      <c r="C1201" s="12">
        <v>45519</v>
      </c>
      <c r="D1201" s="4">
        <v>0.59642103009259262</v>
      </c>
      <c r="E12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01" t="s">
        <v>6</v>
      </c>
      <c r="G1201" s="2">
        <v>18.12</v>
      </c>
    </row>
    <row r="1202" spans="1:7" x14ac:dyDescent="0.25">
      <c r="A12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240815-EVE001</v>
      </c>
      <c r="B1202" s="1" t="str">
        <f>TEXT(Coffee_sales_clean[[#This Row],[Transaction Date]],"dddd")</f>
        <v>Thursday</v>
      </c>
      <c r="C1202" s="12">
        <v>45519</v>
      </c>
      <c r="D1202" s="4">
        <v>0.74574334490740746</v>
      </c>
      <c r="E12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02" t="s">
        <v>3</v>
      </c>
      <c r="G1202" s="2">
        <v>27.92</v>
      </c>
    </row>
    <row r="1203" spans="1:7" x14ac:dyDescent="0.25">
      <c r="A12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240815-EVE002</v>
      </c>
      <c r="B1203" s="1" t="str">
        <f>TEXT(Coffee_sales_clean[[#This Row],[Transaction Date]],"dddd")</f>
        <v>Thursday</v>
      </c>
      <c r="C1203" s="12">
        <v>45519</v>
      </c>
      <c r="D1203" s="4">
        <v>0.79928497685185185</v>
      </c>
      <c r="E12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03" t="s">
        <v>1</v>
      </c>
      <c r="G1203" s="2">
        <v>32.82</v>
      </c>
    </row>
    <row r="1204" spans="1:7" x14ac:dyDescent="0.25">
      <c r="A12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240815-EVE003</v>
      </c>
      <c r="B1204" s="1" t="str">
        <f>TEXT(Coffee_sales_clean[[#This Row],[Transaction Date]],"dddd")</f>
        <v>Thursday</v>
      </c>
      <c r="C1204" s="12">
        <v>45519</v>
      </c>
      <c r="D1204" s="4">
        <v>0.7999309722222222</v>
      </c>
      <c r="E12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04" t="s">
        <v>3</v>
      </c>
      <c r="G1204" s="2">
        <v>27.92</v>
      </c>
    </row>
    <row r="1205" spans="1:7" x14ac:dyDescent="0.25">
      <c r="A12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240815-EVE004</v>
      </c>
      <c r="B1205" s="1" t="str">
        <f>TEXT(Coffee_sales_clean[[#This Row],[Transaction Date]],"dddd")</f>
        <v>Thursday</v>
      </c>
      <c r="C1205" s="12">
        <v>45519</v>
      </c>
      <c r="D1205" s="4">
        <v>0.82048893518518518</v>
      </c>
      <c r="E12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05" t="s">
        <v>3</v>
      </c>
      <c r="G1205" s="2">
        <v>27.92</v>
      </c>
    </row>
    <row r="1206" spans="1:7" x14ac:dyDescent="0.25">
      <c r="A12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240815-EVE005</v>
      </c>
      <c r="B1206" s="1" t="str">
        <f>TEXT(Coffee_sales_clean[[#This Row],[Transaction Date]],"dddd")</f>
        <v>Thursday</v>
      </c>
      <c r="C1206" s="12">
        <v>45519</v>
      </c>
      <c r="D1206" s="4">
        <v>0.82127299768518514</v>
      </c>
      <c r="E12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06" t="s">
        <v>2</v>
      </c>
      <c r="G1206" s="2">
        <v>23.02</v>
      </c>
    </row>
    <row r="1207" spans="1:7" x14ac:dyDescent="0.25">
      <c r="A12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240815-LAT001</v>
      </c>
      <c r="B1207" s="1" t="str">
        <f>TEXT(Coffee_sales_clean[[#This Row],[Transaction Date]],"dddd")</f>
        <v>Thursday</v>
      </c>
      <c r="C1207" s="12">
        <v>45519</v>
      </c>
      <c r="D1207" s="4">
        <v>0.8615916203703704</v>
      </c>
      <c r="E12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07" t="s">
        <v>7</v>
      </c>
      <c r="G1207" s="2">
        <v>32.82</v>
      </c>
    </row>
    <row r="1208" spans="1:7" x14ac:dyDescent="0.25">
      <c r="A12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240815-LAT002</v>
      </c>
      <c r="B1208" s="1" t="str">
        <f>TEXT(Coffee_sales_clean[[#This Row],[Transaction Date]],"dddd")</f>
        <v>Thursday</v>
      </c>
      <c r="C1208" s="12">
        <v>45519</v>
      </c>
      <c r="D1208" s="4">
        <v>0.89953796296296296</v>
      </c>
      <c r="E12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08" t="s">
        <v>6</v>
      </c>
      <c r="G1208" s="2">
        <v>18.12</v>
      </c>
    </row>
    <row r="1209" spans="1:7" x14ac:dyDescent="0.25">
      <c r="A12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240815-LAT003</v>
      </c>
      <c r="B1209" s="1" t="str">
        <f>TEXT(Coffee_sales_clean[[#This Row],[Transaction Date]],"dddd")</f>
        <v>Thursday</v>
      </c>
      <c r="C1209" s="12">
        <v>45519</v>
      </c>
      <c r="D1209" s="4">
        <v>0.9001276967592593</v>
      </c>
      <c r="E12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09" t="s">
        <v>3</v>
      </c>
      <c r="G1209" s="2">
        <v>27.92</v>
      </c>
    </row>
    <row r="1210" spans="1:7" x14ac:dyDescent="0.25">
      <c r="A12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240816-LUN001</v>
      </c>
      <c r="B1210" s="1" t="str">
        <f>TEXT(Coffee_sales_clean[[#This Row],[Transaction Date]],"dddd")</f>
        <v>Friday</v>
      </c>
      <c r="C1210" s="12">
        <v>45520</v>
      </c>
      <c r="D1210" s="4">
        <v>0.52033254629629633</v>
      </c>
      <c r="E12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10" t="s">
        <v>0</v>
      </c>
      <c r="G1210" s="2">
        <v>32.82</v>
      </c>
    </row>
    <row r="1211" spans="1:7" x14ac:dyDescent="0.25">
      <c r="A12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240816-LUN002</v>
      </c>
      <c r="B1211" s="1" t="str">
        <f>TEXT(Coffee_sales_clean[[#This Row],[Transaction Date]],"dddd")</f>
        <v>Friday</v>
      </c>
      <c r="C1211" s="12">
        <v>45520</v>
      </c>
      <c r="D1211" s="4">
        <v>0.53770199074074077</v>
      </c>
      <c r="E12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11" t="s">
        <v>2</v>
      </c>
      <c r="G1211" s="2">
        <v>23.02</v>
      </c>
    </row>
    <row r="1212" spans="1:7" x14ac:dyDescent="0.25">
      <c r="A12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240816-LUN003</v>
      </c>
      <c r="B1212" s="1" t="str">
        <f>TEXT(Coffee_sales_clean[[#This Row],[Transaction Date]],"dddd")</f>
        <v>Friday</v>
      </c>
      <c r="C1212" s="12">
        <v>45520</v>
      </c>
      <c r="D1212" s="4">
        <v>0.56681479166666671</v>
      </c>
      <c r="E12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12" t="s">
        <v>3</v>
      </c>
      <c r="G1212" s="2">
        <v>27.92</v>
      </c>
    </row>
    <row r="1213" spans="1:7" x14ac:dyDescent="0.25">
      <c r="A12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240816-AFT001</v>
      </c>
      <c r="B1213" s="1" t="str">
        <f>TEXT(Coffee_sales_clean[[#This Row],[Transaction Date]],"dddd")</f>
        <v>Friday</v>
      </c>
      <c r="C1213" s="12">
        <v>45520</v>
      </c>
      <c r="D1213" s="4">
        <v>0.63809880787037032</v>
      </c>
      <c r="E12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13" t="s">
        <v>6</v>
      </c>
      <c r="G1213" s="2">
        <v>18.12</v>
      </c>
    </row>
    <row r="1214" spans="1:7" x14ac:dyDescent="0.25">
      <c r="A12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240816-AFT002</v>
      </c>
      <c r="B1214" s="1" t="str">
        <f>TEXT(Coffee_sales_clean[[#This Row],[Transaction Date]],"dddd")</f>
        <v>Friday</v>
      </c>
      <c r="C1214" s="12">
        <v>45520</v>
      </c>
      <c r="D1214" s="4">
        <v>0.63864900462962959</v>
      </c>
      <c r="E12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14" t="s">
        <v>6</v>
      </c>
      <c r="G1214" s="2">
        <v>18.12</v>
      </c>
    </row>
    <row r="1215" spans="1:7" x14ac:dyDescent="0.25">
      <c r="A12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240817-MOR001</v>
      </c>
      <c r="B1215" s="1" t="str">
        <f>TEXT(Coffee_sales_clean[[#This Row],[Transaction Date]],"dddd")</f>
        <v>Saturday</v>
      </c>
      <c r="C1215" s="12">
        <v>45521</v>
      </c>
      <c r="D1215" s="4">
        <v>0.38673021990740741</v>
      </c>
      <c r="E12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15" t="s">
        <v>3</v>
      </c>
      <c r="G1215" s="2">
        <v>27.92</v>
      </c>
    </row>
    <row r="1216" spans="1:7" x14ac:dyDescent="0.25">
      <c r="A12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240817-MOR002</v>
      </c>
      <c r="B1216" s="1" t="str">
        <f>TEXT(Coffee_sales_clean[[#This Row],[Transaction Date]],"dddd")</f>
        <v>Saturday</v>
      </c>
      <c r="C1216" s="12">
        <v>45521</v>
      </c>
      <c r="D1216" s="4">
        <v>0.38760396990740742</v>
      </c>
      <c r="E12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16" t="s">
        <v>7</v>
      </c>
      <c r="G1216" s="2">
        <v>32.82</v>
      </c>
    </row>
    <row r="1217" spans="1:7" x14ac:dyDescent="0.25">
      <c r="A12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240817-MOR003</v>
      </c>
      <c r="B1217" s="1" t="str">
        <f>TEXT(Coffee_sales_clean[[#This Row],[Transaction Date]],"dddd")</f>
        <v>Saturday</v>
      </c>
      <c r="C1217" s="12">
        <v>45521</v>
      </c>
      <c r="D1217" s="4">
        <v>0.45395054398148149</v>
      </c>
      <c r="E12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17" t="s">
        <v>3</v>
      </c>
      <c r="G1217" s="2">
        <v>27.92</v>
      </c>
    </row>
    <row r="1218" spans="1:7" x14ac:dyDescent="0.25">
      <c r="A12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240817-LUN001</v>
      </c>
      <c r="B1218" s="1" t="str">
        <f>TEXT(Coffee_sales_clean[[#This Row],[Transaction Date]],"dddd")</f>
        <v>Saturday</v>
      </c>
      <c r="C1218" s="12">
        <v>45521</v>
      </c>
      <c r="D1218" s="4">
        <v>0.49909315972222223</v>
      </c>
      <c r="E12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18" t="s">
        <v>5</v>
      </c>
      <c r="G1218" s="2">
        <v>23.02</v>
      </c>
    </row>
    <row r="1219" spans="1:7" x14ac:dyDescent="0.25">
      <c r="A12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240817-LUN002</v>
      </c>
      <c r="B1219" s="1" t="str">
        <f>TEXT(Coffee_sales_clean[[#This Row],[Transaction Date]],"dddd")</f>
        <v>Saturday</v>
      </c>
      <c r="C1219" s="12">
        <v>45521</v>
      </c>
      <c r="D1219" s="4">
        <v>0.49963307870370371</v>
      </c>
      <c r="E12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19" t="s">
        <v>5</v>
      </c>
      <c r="G1219" s="2">
        <v>23.02</v>
      </c>
    </row>
    <row r="1220" spans="1:7" x14ac:dyDescent="0.25">
      <c r="A12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240817-LUN003</v>
      </c>
      <c r="B1220" s="1" t="str">
        <f>TEXT(Coffee_sales_clean[[#This Row],[Transaction Date]],"dddd")</f>
        <v>Saturday</v>
      </c>
      <c r="C1220" s="12">
        <v>45521</v>
      </c>
      <c r="D1220" s="4">
        <v>0.55463175925925923</v>
      </c>
      <c r="E12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20" t="s">
        <v>3</v>
      </c>
      <c r="G1220" s="2">
        <v>27.92</v>
      </c>
    </row>
    <row r="1221" spans="1:7" x14ac:dyDescent="0.25">
      <c r="A12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240817-AFT001</v>
      </c>
      <c r="B1221" s="1" t="str">
        <f>TEXT(Coffee_sales_clean[[#This Row],[Transaction Date]],"dddd")</f>
        <v>Saturday</v>
      </c>
      <c r="C1221" s="12">
        <v>45521</v>
      </c>
      <c r="D1221" s="4">
        <v>0.68882913194444439</v>
      </c>
      <c r="E12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21" t="s">
        <v>5</v>
      </c>
      <c r="G1221" s="2">
        <v>23.02</v>
      </c>
    </row>
    <row r="1222" spans="1:7" x14ac:dyDescent="0.25">
      <c r="A12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240817-AFT002</v>
      </c>
      <c r="B1222" s="1" t="str">
        <f>TEXT(Coffee_sales_clean[[#This Row],[Transaction Date]],"dddd")</f>
        <v>Saturday</v>
      </c>
      <c r="C1222" s="12">
        <v>45521</v>
      </c>
      <c r="D1222" s="4">
        <v>0.69015019675925926</v>
      </c>
      <c r="E12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22" t="s">
        <v>0</v>
      </c>
      <c r="G1222" s="2">
        <v>32.82</v>
      </c>
    </row>
    <row r="1223" spans="1:7" x14ac:dyDescent="0.25">
      <c r="A12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240817-EVE001</v>
      </c>
      <c r="B1223" s="1" t="str">
        <f>TEXT(Coffee_sales_clean[[#This Row],[Transaction Date]],"dddd")</f>
        <v>Saturday</v>
      </c>
      <c r="C1223" s="12">
        <v>45521</v>
      </c>
      <c r="D1223" s="4">
        <v>0.7840144907407407</v>
      </c>
      <c r="E12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23" t="s">
        <v>7</v>
      </c>
      <c r="G1223" s="2">
        <v>32.82</v>
      </c>
    </row>
    <row r="1224" spans="1:7" x14ac:dyDescent="0.25">
      <c r="A12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240817-LAT001</v>
      </c>
      <c r="B1224" s="1" t="str">
        <f>TEXT(Coffee_sales_clean[[#This Row],[Transaction Date]],"dddd")</f>
        <v>Saturday</v>
      </c>
      <c r="C1224" s="12">
        <v>45521</v>
      </c>
      <c r="D1224" s="4">
        <v>0.88815747685185187</v>
      </c>
      <c r="E12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24" t="s">
        <v>3</v>
      </c>
      <c r="G1224" s="2">
        <v>27.92</v>
      </c>
    </row>
    <row r="1225" spans="1:7" x14ac:dyDescent="0.25">
      <c r="A12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240817-LAT002</v>
      </c>
      <c r="B1225" s="1" t="str">
        <f>TEXT(Coffee_sales_clean[[#This Row],[Transaction Date]],"dddd")</f>
        <v>Saturday</v>
      </c>
      <c r="C1225" s="12">
        <v>45521</v>
      </c>
      <c r="D1225" s="4">
        <v>0.94628878472222222</v>
      </c>
      <c r="E12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25" t="s">
        <v>0</v>
      </c>
      <c r="G1225" s="2">
        <v>32.82</v>
      </c>
    </row>
    <row r="1226" spans="1:7" x14ac:dyDescent="0.25">
      <c r="A12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240818-MOR001</v>
      </c>
      <c r="B1226" s="1" t="str">
        <f>TEXT(Coffee_sales_clean[[#This Row],[Transaction Date]],"dddd")</f>
        <v>Sunday</v>
      </c>
      <c r="C1226" s="12">
        <v>45522</v>
      </c>
      <c r="D1226" s="4">
        <v>0.34007640046296295</v>
      </c>
      <c r="E12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26" t="s">
        <v>7</v>
      </c>
      <c r="G1226" s="2">
        <v>32.82</v>
      </c>
    </row>
    <row r="1227" spans="1:7" x14ac:dyDescent="0.25">
      <c r="A12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240818-MOR002</v>
      </c>
      <c r="B1227" s="1" t="str">
        <f>TEXT(Coffee_sales_clean[[#This Row],[Transaction Date]],"dddd")</f>
        <v>Sunday</v>
      </c>
      <c r="C1227" s="12">
        <v>45522</v>
      </c>
      <c r="D1227" s="4">
        <v>0.35562033564814816</v>
      </c>
      <c r="E12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27" t="s">
        <v>7</v>
      </c>
      <c r="G1227" s="2">
        <v>32.82</v>
      </c>
    </row>
    <row r="1228" spans="1:7" x14ac:dyDescent="0.25">
      <c r="A12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240818-MOR003</v>
      </c>
      <c r="B1228" s="1" t="str">
        <f>TEXT(Coffee_sales_clean[[#This Row],[Transaction Date]],"dddd")</f>
        <v>Sunday</v>
      </c>
      <c r="C1228" s="12">
        <v>45522</v>
      </c>
      <c r="D1228" s="4">
        <v>0.36187788194444442</v>
      </c>
      <c r="E12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28" t="s">
        <v>5</v>
      </c>
      <c r="G1228" s="2">
        <v>23.02</v>
      </c>
    </row>
    <row r="1229" spans="1:7" x14ac:dyDescent="0.25">
      <c r="A12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240818-MOR004</v>
      </c>
      <c r="B1229" s="1" t="str">
        <f>TEXT(Coffee_sales_clean[[#This Row],[Transaction Date]],"dddd")</f>
        <v>Sunday</v>
      </c>
      <c r="C1229" s="12">
        <v>45522</v>
      </c>
      <c r="D1229" s="4">
        <v>0.37223717592592592</v>
      </c>
      <c r="E12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29" t="s">
        <v>3</v>
      </c>
      <c r="G1229" s="2">
        <v>27.92</v>
      </c>
    </row>
    <row r="1230" spans="1:7" x14ac:dyDescent="0.25">
      <c r="A12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240818-LUN001</v>
      </c>
      <c r="B1230" s="1" t="str">
        <f>TEXT(Coffee_sales_clean[[#This Row],[Transaction Date]],"dddd")</f>
        <v>Sunday</v>
      </c>
      <c r="C1230" s="12">
        <v>45522</v>
      </c>
      <c r="D1230" s="4">
        <v>0.52200106481481479</v>
      </c>
      <c r="E12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30" t="s">
        <v>7</v>
      </c>
      <c r="G1230" s="2">
        <v>32.82</v>
      </c>
    </row>
    <row r="1231" spans="1:7" x14ac:dyDescent="0.25">
      <c r="A12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240818-AFT001</v>
      </c>
      <c r="B1231" s="1" t="str">
        <f>TEXT(Coffee_sales_clean[[#This Row],[Transaction Date]],"dddd")</f>
        <v>Sunday</v>
      </c>
      <c r="C1231" s="12">
        <v>45522</v>
      </c>
      <c r="D1231" s="4">
        <v>0.60441672453703699</v>
      </c>
      <c r="E12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31" t="s">
        <v>3</v>
      </c>
      <c r="G1231" s="2">
        <v>27.92</v>
      </c>
    </row>
    <row r="1232" spans="1:7" x14ac:dyDescent="0.25">
      <c r="A12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240818-EVE001</v>
      </c>
      <c r="B1232" s="1" t="str">
        <f>TEXT(Coffee_sales_clean[[#This Row],[Transaction Date]],"dddd")</f>
        <v>Sunday</v>
      </c>
      <c r="C1232" s="12">
        <v>45522</v>
      </c>
      <c r="D1232" s="4">
        <v>0.76679138888888887</v>
      </c>
      <c r="E12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32" t="s">
        <v>3</v>
      </c>
      <c r="G1232" s="2">
        <v>27.92</v>
      </c>
    </row>
    <row r="1233" spans="1:7" x14ac:dyDescent="0.25">
      <c r="A12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240818-EVE002</v>
      </c>
      <c r="B1233" s="1" t="str">
        <f>TEXT(Coffee_sales_clean[[#This Row],[Transaction Date]],"dddd")</f>
        <v>Sunday</v>
      </c>
      <c r="C1233" s="12">
        <v>45522</v>
      </c>
      <c r="D1233" s="4">
        <v>0.76809937500000003</v>
      </c>
      <c r="E12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33" t="s">
        <v>3</v>
      </c>
      <c r="G1233" s="2">
        <v>27.92</v>
      </c>
    </row>
    <row r="1234" spans="1:7" x14ac:dyDescent="0.25">
      <c r="A12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240818-EVE003</v>
      </c>
      <c r="B1234" s="1" t="str">
        <f>TEXT(Coffee_sales_clean[[#This Row],[Transaction Date]],"dddd")</f>
        <v>Sunday</v>
      </c>
      <c r="C1234" s="12">
        <v>45522</v>
      </c>
      <c r="D1234" s="4">
        <v>0.76895315972222222</v>
      </c>
      <c r="E12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34" t="s">
        <v>2</v>
      </c>
      <c r="G1234" s="2">
        <v>23.02</v>
      </c>
    </row>
    <row r="1235" spans="1:7" x14ac:dyDescent="0.25">
      <c r="A12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240818-EVE004</v>
      </c>
      <c r="B1235" s="1" t="str">
        <f>TEXT(Coffee_sales_clean[[#This Row],[Transaction Date]],"dddd")</f>
        <v>Sunday</v>
      </c>
      <c r="C1235" s="12">
        <v>45522</v>
      </c>
      <c r="D1235" s="4">
        <v>0.76959570601851857</v>
      </c>
      <c r="E12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35" t="s">
        <v>2</v>
      </c>
      <c r="G1235" s="2">
        <v>23.02</v>
      </c>
    </row>
    <row r="1236" spans="1:7" x14ac:dyDescent="0.25">
      <c r="A12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240819-AFT001</v>
      </c>
      <c r="B1236" s="1" t="str">
        <f>TEXT(Coffee_sales_clean[[#This Row],[Transaction Date]],"dddd")</f>
        <v>Monday</v>
      </c>
      <c r="C1236" s="12">
        <v>45523</v>
      </c>
      <c r="D1236" s="4">
        <v>0.6318169212962963</v>
      </c>
      <c r="E12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36" t="s">
        <v>3</v>
      </c>
      <c r="G1236" s="2">
        <v>27.92</v>
      </c>
    </row>
    <row r="1237" spans="1:7" x14ac:dyDescent="0.25">
      <c r="A12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240819-AFT002</v>
      </c>
      <c r="B1237" s="1" t="str">
        <f>TEXT(Coffee_sales_clean[[#This Row],[Transaction Date]],"dddd")</f>
        <v>Monday</v>
      </c>
      <c r="C1237" s="12">
        <v>45523</v>
      </c>
      <c r="D1237" s="4">
        <v>0.63253717592592595</v>
      </c>
      <c r="E12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37" t="s">
        <v>3</v>
      </c>
      <c r="G1237" s="2">
        <v>27.92</v>
      </c>
    </row>
    <row r="1238" spans="1:7" x14ac:dyDescent="0.25">
      <c r="A12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240819-LAT001</v>
      </c>
      <c r="B1238" s="1" t="str">
        <f>TEXT(Coffee_sales_clean[[#This Row],[Transaction Date]],"dddd")</f>
        <v>Monday</v>
      </c>
      <c r="C1238" s="12">
        <v>45523</v>
      </c>
      <c r="D1238" s="4">
        <v>0.88972315972222227</v>
      </c>
      <c r="E12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38" t="s">
        <v>0</v>
      </c>
      <c r="G1238" s="2">
        <v>32.82</v>
      </c>
    </row>
    <row r="1239" spans="1:7" x14ac:dyDescent="0.25">
      <c r="A12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240819-LAT002</v>
      </c>
      <c r="B1239" s="1" t="str">
        <f>TEXT(Coffee_sales_clean[[#This Row],[Transaction Date]],"dddd")</f>
        <v>Monday</v>
      </c>
      <c r="C1239" s="12">
        <v>45523</v>
      </c>
      <c r="D1239" s="4">
        <v>0.89718791666666664</v>
      </c>
      <c r="E12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39" t="s">
        <v>4</v>
      </c>
      <c r="G1239" s="2">
        <v>32.82</v>
      </c>
    </row>
    <row r="1240" spans="1:7" x14ac:dyDescent="0.25">
      <c r="A12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240820-MOR001</v>
      </c>
      <c r="B1240" s="1" t="str">
        <f>TEXT(Coffee_sales_clean[[#This Row],[Transaction Date]],"dddd")</f>
        <v>Tuesday</v>
      </c>
      <c r="C1240" s="12">
        <v>45524</v>
      </c>
      <c r="D1240" s="4">
        <v>0.35227324074074073</v>
      </c>
      <c r="E12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40" t="s">
        <v>5</v>
      </c>
      <c r="G1240" s="2">
        <v>23.02</v>
      </c>
    </row>
    <row r="1241" spans="1:7" x14ac:dyDescent="0.25">
      <c r="A12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240820-MOR002</v>
      </c>
      <c r="B1241" s="1" t="str">
        <f>TEXT(Coffee_sales_clean[[#This Row],[Transaction Date]],"dddd")</f>
        <v>Tuesday</v>
      </c>
      <c r="C1241" s="12">
        <v>45524</v>
      </c>
      <c r="D1241" s="4">
        <v>0.3536448611111111</v>
      </c>
      <c r="E12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41" t="s">
        <v>0</v>
      </c>
      <c r="G1241" s="2">
        <v>32.82</v>
      </c>
    </row>
    <row r="1242" spans="1:7" x14ac:dyDescent="0.25">
      <c r="A12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240820-MOR003</v>
      </c>
      <c r="B1242" s="1" t="str">
        <f>TEXT(Coffee_sales_clean[[#This Row],[Transaction Date]],"dddd")</f>
        <v>Tuesday</v>
      </c>
      <c r="C1242" s="12">
        <v>45524</v>
      </c>
      <c r="D1242" s="4">
        <v>0.36791057870370369</v>
      </c>
      <c r="E12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42" t="s">
        <v>6</v>
      </c>
      <c r="G1242" s="2">
        <v>18.12</v>
      </c>
    </row>
    <row r="1243" spans="1:7" x14ac:dyDescent="0.25">
      <c r="A12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240820-MOR004</v>
      </c>
      <c r="B1243" s="1" t="str">
        <f>TEXT(Coffee_sales_clean[[#This Row],[Transaction Date]],"dddd")</f>
        <v>Tuesday</v>
      </c>
      <c r="C1243" s="12">
        <v>45524</v>
      </c>
      <c r="D1243" s="4">
        <v>0.36847619212962962</v>
      </c>
      <c r="E12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43" t="s">
        <v>5</v>
      </c>
      <c r="G1243" s="2">
        <v>23.02</v>
      </c>
    </row>
    <row r="1244" spans="1:7" x14ac:dyDescent="0.25">
      <c r="A12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240820-MOR005</v>
      </c>
      <c r="B1244" s="1" t="str">
        <f>TEXT(Coffee_sales_clean[[#This Row],[Transaction Date]],"dddd")</f>
        <v>Tuesday</v>
      </c>
      <c r="C1244" s="12">
        <v>45524</v>
      </c>
      <c r="D1244" s="4">
        <v>0.38535746527777776</v>
      </c>
      <c r="E12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44" t="s">
        <v>3</v>
      </c>
      <c r="G1244" s="2">
        <v>27.92</v>
      </c>
    </row>
    <row r="1245" spans="1:7" x14ac:dyDescent="0.25">
      <c r="A12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240820-LUN001</v>
      </c>
      <c r="B1245" s="1" t="str">
        <f>TEXT(Coffee_sales_clean[[#This Row],[Transaction Date]],"dddd")</f>
        <v>Tuesday</v>
      </c>
      <c r="C1245" s="12">
        <v>45524</v>
      </c>
      <c r="D1245" s="4">
        <v>0.4652265625</v>
      </c>
      <c r="E12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45" t="s">
        <v>2</v>
      </c>
      <c r="G1245" s="2">
        <v>23.02</v>
      </c>
    </row>
    <row r="1246" spans="1:7" x14ac:dyDescent="0.25">
      <c r="A12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240820-LUN002</v>
      </c>
      <c r="B1246" s="1" t="str">
        <f>TEXT(Coffee_sales_clean[[#This Row],[Transaction Date]],"dddd")</f>
        <v>Tuesday</v>
      </c>
      <c r="C1246" s="12">
        <v>45524</v>
      </c>
      <c r="D1246" s="4">
        <v>0.46642457175925928</v>
      </c>
      <c r="E12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46" t="s">
        <v>2</v>
      </c>
      <c r="G1246" s="2">
        <v>23.02</v>
      </c>
    </row>
    <row r="1247" spans="1:7" x14ac:dyDescent="0.25">
      <c r="A12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240820-LUN003</v>
      </c>
      <c r="B1247" s="1" t="str">
        <f>TEXT(Coffee_sales_clean[[#This Row],[Transaction Date]],"dddd")</f>
        <v>Tuesday</v>
      </c>
      <c r="C1247" s="12">
        <v>45524</v>
      </c>
      <c r="D1247" s="4">
        <v>0.46702755787037037</v>
      </c>
      <c r="E12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47" t="s">
        <v>2</v>
      </c>
      <c r="G1247" s="2">
        <v>23.02</v>
      </c>
    </row>
    <row r="1248" spans="1:7" x14ac:dyDescent="0.25">
      <c r="A12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240820-LUN004</v>
      </c>
      <c r="B1248" s="1" t="str">
        <f>TEXT(Coffee_sales_clean[[#This Row],[Transaction Date]],"dddd")</f>
        <v>Tuesday</v>
      </c>
      <c r="C1248" s="12">
        <v>45524</v>
      </c>
      <c r="D1248" s="4">
        <v>0.48773148148148149</v>
      </c>
      <c r="E12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48" t="s">
        <v>0</v>
      </c>
      <c r="G1248" s="2">
        <v>32.82</v>
      </c>
    </row>
    <row r="1249" spans="1:7" x14ac:dyDescent="0.25">
      <c r="A12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240820-LAT001</v>
      </c>
      <c r="B1249" s="1" t="str">
        <f>TEXT(Coffee_sales_clean[[#This Row],[Transaction Date]],"dddd")</f>
        <v>Tuesday</v>
      </c>
      <c r="C1249" s="12">
        <v>45524</v>
      </c>
      <c r="D1249" s="4">
        <v>0.86297306712962962</v>
      </c>
      <c r="E12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49" t="s">
        <v>0</v>
      </c>
      <c r="G1249" s="2">
        <v>32.82</v>
      </c>
    </row>
    <row r="1250" spans="1:7" x14ac:dyDescent="0.25">
      <c r="A12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240820-LAT002</v>
      </c>
      <c r="B1250" s="1" t="str">
        <f>TEXT(Coffee_sales_clean[[#This Row],[Transaction Date]],"dddd")</f>
        <v>Tuesday</v>
      </c>
      <c r="C1250" s="12">
        <v>45524</v>
      </c>
      <c r="D1250" s="4">
        <v>0.86406078703703704</v>
      </c>
      <c r="E12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50" t="s">
        <v>0</v>
      </c>
      <c r="G1250" s="2">
        <v>32.82</v>
      </c>
    </row>
    <row r="1251" spans="1:7" x14ac:dyDescent="0.25">
      <c r="A12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240820-LAT003</v>
      </c>
      <c r="B1251" s="1" t="str">
        <f>TEXT(Coffee_sales_clean[[#This Row],[Transaction Date]],"dddd")</f>
        <v>Tuesday</v>
      </c>
      <c r="C1251" s="12">
        <v>45524</v>
      </c>
      <c r="D1251" s="4">
        <v>0.86472622685185185</v>
      </c>
      <c r="E12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51" t="s">
        <v>0</v>
      </c>
      <c r="G1251" s="2">
        <v>32.82</v>
      </c>
    </row>
    <row r="1252" spans="1:7" x14ac:dyDescent="0.25">
      <c r="A12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240820-LAT004</v>
      </c>
      <c r="B1252" s="1" t="str">
        <f>TEXT(Coffee_sales_clean[[#This Row],[Transaction Date]],"dddd")</f>
        <v>Tuesday</v>
      </c>
      <c r="C1252" s="12">
        <v>45524</v>
      </c>
      <c r="D1252" s="4">
        <v>0.86532394675925928</v>
      </c>
      <c r="E12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252" t="s">
        <v>0</v>
      </c>
      <c r="G1252" s="2">
        <v>32.82</v>
      </c>
    </row>
    <row r="1253" spans="1:7" x14ac:dyDescent="0.25">
      <c r="A12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240821-MOR001</v>
      </c>
      <c r="B1253" s="1" t="str">
        <f>TEXT(Coffee_sales_clean[[#This Row],[Transaction Date]],"dddd")</f>
        <v>Wednesday</v>
      </c>
      <c r="C1253" s="12">
        <v>45525</v>
      </c>
      <c r="D1253" s="4">
        <v>0.33279048611111112</v>
      </c>
      <c r="E12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53" t="s">
        <v>3</v>
      </c>
      <c r="G1253" s="2">
        <v>27.92</v>
      </c>
    </row>
    <row r="1254" spans="1:7" x14ac:dyDescent="0.25">
      <c r="A12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240821-MOR002</v>
      </c>
      <c r="B1254" s="1" t="str">
        <f>TEXT(Coffee_sales_clean[[#This Row],[Transaction Date]],"dddd")</f>
        <v>Wednesday</v>
      </c>
      <c r="C1254" s="12">
        <v>45525</v>
      </c>
      <c r="D1254" s="4">
        <v>0.3614281597222222</v>
      </c>
      <c r="E12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54" t="s">
        <v>5</v>
      </c>
      <c r="G1254" s="2">
        <v>23.02</v>
      </c>
    </row>
    <row r="1255" spans="1:7" x14ac:dyDescent="0.25">
      <c r="A12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240821-MOR003</v>
      </c>
      <c r="B1255" s="1" t="str">
        <f>TEXT(Coffee_sales_clean[[#This Row],[Transaction Date]],"dddd")</f>
        <v>Wednesday</v>
      </c>
      <c r="C1255" s="12">
        <v>45525</v>
      </c>
      <c r="D1255" s="4">
        <v>0.42606949074074074</v>
      </c>
      <c r="E12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55" t="s">
        <v>2</v>
      </c>
      <c r="G1255" s="2">
        <v>23.02</v>
      </c>
    </row>
    <row r="1256" spans="1:7" x14ac:dyDescent="0.25">
      <c r="A12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240821-MOR004</v>
      </c>
      <c r="B1256" s="1" t="str">
        <f>TEXT(Coffee_sales_clean[[#This Row],[Transaction Date]],"dddd")</f>
        <v>Wednesday</v>
      </c>
      <c r="C1256" s="12">
        <v>45525</v>
      </c>
      <c r="D1256" s="4">
        <v>0.44357091435185186</v>
      </c>
      <c r="E12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56" t="s">
        <v>3</v>
      </c>
      <c r="G1256" s="2">
        <v>27.92</v>
      </c>
    </row>
    <row r="1257" spans="1:7" x14ac:dyDescent="0.25">
      <c r="A12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240821-LUN001</v>
      </c>
      <c r="B1257" s="1" t="str">
        <f>TEXT(Coffee_sales_clean[[#This Row],[Transaction Date]],"dddd")</f>
        <v>Wednesday</v>
      </c>
      <c r="C1257" s="12">
        <v>45525</v>
      </c>
      <c r="D1257" s="4">
        <v>0.49422961805555554</v>
      </c>
      <c r="E12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57" t="s">
        <v>5</v>
      </c>
      <c r="G1257" s="2">
        <v>23.02</v>
      </c>
    </row>
    <row r="1258" spans="1:7" x14ac:dyDescent="0.25">
      <c r="A12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240821-LUN002</v>
      </c>
      <c r="B1258" s="1" t="str">
        <f>TEXT(Coffee_sales_clean[[#This Row],[Transaction Date]],"dddd")</f>
        <v>Wednesday</v>
      </c>
      <c r="C1258" s="12">
        <v>45525</v>
      </c>
      <c r="D1258" s="4">
        <v>0.55359664351851856</v>
      </c>
      <c r="E12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58" t="s">
        <v>0</v>
      </c>
      <c r="G1258" s="2">
        <v>32.82</v>
      </c>
    </row>
    <row r="1259" spans="1:7" x14ac:dyDescent="0.25">
      <c r="A12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240821-EVE001</v>
      </c>
      <c r="B1259" s="1" t="str">
        <f>TEXT(Coffee_sales_clean[[#This Row],[Transaction Date]],"dddd")</f>
        <v>Wednesday</v>
      </c>
      <c r="C1259" s="12">
        <v>45525</v>
      </c>
      <c r="D1259" s="4">
        <v>0.8208741087962963</v>
      </c>
      <c r="E12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59" t="s">
        <v>0</v>
      </c>
      <c r="G1259" s="2">
        <v>32.82</v>
      </c>
    </row>
    <row r="1260" spans="1:7" x14ac:dyDescent="0.25">
      <c r="A12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240822-MOR001</v>
      </c>
      <c r="B1260" s="1" t="str">
        <f>TEXT(Coffee_sales_clean[[#This Row],[Transaction Date]],"dddd")</f>
        <v>Thursday</v>
      </c>
      <c r="C1260" s="12">
        <v>45526</v>
      </c>
      <c r="D1260" s="4">
        <v>0.39058214120370371</v>
      </c>
      <c r="E12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60" t="s">
        <v>5</v>
      </c>
      <c r="G1260" s="2">
        <v>23.02</v>
      </c>
    </row>
    <row r="1261" spans="1:7" x14ac:dyDescent="0.25">
      <c r="A12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240822-MOR002</v>
      </c>
      <c r="B1261" s="1" t="str">
        <f>TEXT(Coffee_sales_clean[[#This Row],[Transaction Date]],"dddd")</f>
        <v>Thursday</v>
      </c>
      <c r="C1261" s="12">
        <v>45526</v>
      </c>
      <c r="D1261" s="4">
        <v>0.42318831018518521</v>
      </c>
      <c r="E12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61" t="s">
        <v>3</v>
      </c>
      <c r="G1261" s="2">
        <v>27.92</v>
      </c>
    </row>
    <row r="1262" spans="1:7" x14ac:dyDescent="0.25">
      <c r="A12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240822-MOR003</v>
      </c>
      <c r="B1262" s="1" t="str">
        <f>TEXT(Coffee_sales_clean[[#This Row],[Transaction Date]],"dddd")</f>
        <v>Thursday</v>
      </c>
      <c r="C1262" s="12">
        <v>45526</v>
      </c>
      <c r="D1262" s="4">
        <v>0.44999254629629631</v>
      </c>
      <c r="E12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62" t="s">
        <v>3</v>
      </c>
      <c r="G1262" s="2">
        <v>27.92</v>
      </c>
    </row>
    <row r="1263" spans="1:7" x14ac:dyDescent="0.25">
      <c r="A12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240822-AFT001</v>
      </c>
      <c r="B1263" s="1" t="str">
        <f>TEXT(Coffee_sales_clean[[#This Row],[Transaction Date]],"dddd")</f>
        <v>Thursday</v>
      </c>
      <c r="C1263" s="12">
        <v>45526</v>
      </c>
      <c r="D1263" s="4">
        <v>0.59458409722222227</v>
      </c>
      <c r="E12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63" t="s">
        <v>0</v>
      </c>
      <c r="G1263" s="2">
        <v>32.82</v>
      </c>
    </row>
    <row r="1264" spans="1:7" x14ac:dyDescent="0.25">
      <c r="A12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240822-AFT002</v>
      </c>
      <c r="B1264" s="1" t="str">
        <f>TEXT(Coffee_sales_clean[[#This Row],[Transaction Date]],"dddd")</f>
        <v>Thursday</v>
      </c>
      <c r="C1264" s="12">
        <v>45526</v>
      </c>
      <c r="D1264" s="4">
        <v>0.60206363425925924</v>
      </c>
      <c r="E12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64" t="s">
        <v>0</v>
      </c>
      <c r="G1264" s="2">
        <v>32.82</v>
      </c>
    </row>
    <row r="1265" spans="1:7" x14ac:dyDescent="0.25">
      <c r="A12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240822-AFT003</v>
      </c>
      <c r="B1265" s="1" t="str">
        <f>TEXT(Coffee_sales_clean[[#This Row],[Transaction Date]],"dddd")</f>
        <v>Thursday</v>
      </c>
      <c r="C1265" s="12">
        <v>45526</v>
      </c>
      <c r="D1265" s="4">
        <v>0.62994707175925924</v>
      </c>
      <c r="E12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65" t="s">
        <v>7</v>
      </c>
      <c r="G1265" s="2">
        <v>32.82</v>
      </c>
    </row>
    <row r="1266" spans="1:7" x14ac:dyDescent="0.25">
      <c r="A12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240822-AFT004</v>
      </c>
      <c r="B1266" s="1" t="str">
        <f>TEXT(Coffee_sales_clean[[#This Row],[Transaction Date]],"dddd")</f>
        <v>Thursday</v>
      </c>
      <c r="C1266" s="12">
        <v>45526</v>
      </c>
      <c r="D1266" s="4">
        <v>0.6440661689814815</v>
      </c>
      <c r="E12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66" t="s">
        <v>2</v>
      </c>
      <c r="G1266" s="2">
        <v>23.02</v>
      </c>
    </row>
    <row r="1267" spans="1:7" x14ac:dyDescent="0.25">
      <c r="A12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240823-MOR001</v>
      </c>
      <c r="B1267" s="1" t="str">
        <f>TEXT(Coffee_sales_clean[[#This Row],[Transaction Date]],"dddd")</f>
        <v>Friday</v>
      </c>
      <c r="C1267" s="12">
        <v>45527</v>
      </c>
      <c r="D1267" s="4">
        <v>0.32171443287037038</v>
      </c>
      <c r="E12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67" t="s">
        <v>0</v>
      </c>
      <c r="G1267" s="2">
        <v>32.82</v>
      </c>
    </row>
    <row r="1268" spans="1:7" x14ac:dyDescent="0.25">
      <c r="A12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240823-MOR002</v>
      </c>
      <c r="B1268" s="1" t="str">
        <f>TEXT(Coffee_sales_clean[[#This Row],[Transaction Date]],"dddd")</f>
        <v>Friday</v>
      </c>
      <c r="C1268" s="12">
        <v>45527</v>
      </c>
      <c r="D1268" s="4">
        <v>0.34847284722222222</v>
      </c>
      <c r="E12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68" t="s">
        <v>5</v>
      </c>
      <c r="G1268" s="2">
        <v>23.02</v>
      </c>
    </row>
    <row r="1269" spans="1:7" x14ac:dyDescent="0.25">
      <c r="A12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240823-MOR003</v>
      </c>
      <c r="B1269" s="1" t="str">
        <f>TEXT(Coffee_sales_clean[[#This Row],[Transaction Date]],"dddd")</f>
        <v>Friday</v>
      </c>
      <c r="C1269" s="12">
        <v>45527</v>
      </c>
      <c r="D1269" s="4">
        <v>0.34926582175925924</v>
      </c>
      <c r="E12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69" t="s">
        <v>0</v>
      </c>
      <c r="G1269" s="2">
        <v>32.82</v>
      </c>
    </row>
    <row r="1270" spans="1:7" x14ac:dyDescent="0.25">
      <c r="A12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240823-MOR004</v>
      </c>
      <c r="B1270" s="1" t="str">
        <f>TEXT(Coffee_sales_clean[[#This Row],[Transaction Date]],"dddd")</f>
        <v>Friday</v>
      </c>
      <c r="C1270" s="12">
        <v>45527</v>
      </c>
      <c r="D1270" s="4">
        <v>0.35669805555555556</v>
      </c>
      <c r="E12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70" t="s">
        <v>2</v>
      </c>
      <c r="G1270" s="2">
        <v>23.02</v>
      </c>
    </row>
    <row r="1271" spans="1:7" x14ac:dyDescent="0.25">
      <c r="A12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240823-MOR005</v>
      </c>
      <c r="B1271" s="1" t="str">
        <f>TEXT(Coffee_sales_clean[[#This Row],[Transaction Date]],"dddd")</f>
        <v>Friday</v>
      </c>
      <c r="C1271" s="12">
        <v>45527</v>
      </c>
      <c r="D1271" s="4">
        <v>0.35734956018518521</v>
      </c>
      <c r="E12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71" t="s">
        <v>2</v>
      </c>
      <c r="G1271" s="2">
        <v>23.02</v>
      </c>
    </row>
    <row r="1272" spans="1:7" x14ac:dyDescent="0.25">
      <c r="A12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240823-MOR006</v>
      </c>
      <c r="B1272" s="1" t="str">
        <f>TEXT(Coffee_sales_clean[[#This Row],[Transaction Date]],"dddd")</f>
        <v>Friday</v>
      </c>
      <c r="C1272" s="12">
        <v>45527</v>
      </c>
      <c r="D1272" s="4">
        <v>0.38532435185185188</v>
      </c>
      <c r="E12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72" t="s">
        <v>3</v>
      </c>
      <c r="G1272" s="2">
        <v>27.92</v>
      </c>
    </row>
    <row r="1273" spans="1:7" x14ac:dyDescent="0.25">
      <c r="A12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240823-MOR007</v>
      </c>
      <c r="B1273" s="1" t="str">
        <f>TEXT(Coffee_sales_clean[[#This Row],[Transaction Date]],"dddd")</f>
        <v>Friday</v>
      </c>
      <c r="C1273" s="12">
        <v>45527</v>
      </c>
      <c r="D1273" s="4">
        <v>0.42429055555555556</v>
      </c>
      <c r="E12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73" t="s">
        <v>4</v>
      </c>
      <c r="G1273" s="2">
        <v>32.82</v>
      </c>
    </row>
    <row r="1274" spans="1:7" x14ac:dyDescent="0.25">
      <c r="A12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240823-MOR008</v>
      </c>
      <c r="B1274" s="1" t="str">
        <f>TEXT(Coffee_sales_clean[[#This Row],[Transaction Date]],"dddd")</f>
        <v>Friday</v>
      </c>
      <c r="C1274" s="12">
        <v>45527</v>
      </c>
      <c r="D1274" s="4">
        <v>0.42494755787037036</v>
      </c>
      <c r="E12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74" t="s">
        <v>2</v>
      </c>
      <c r="G1274" s="2">
        <v>23.02</v>
      </c>
    </row>
    <row r="1275" spans="1:7" x14ac:dyDescent="0.25">
      <c r="A12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240823-MOR009</v>
      </c>
      <c r="B1275" s="1" t="str">
        <f>TEXT(Coffee_sales_clean[[#This Row],[Transaction Date]],"dddd")</f>
        <v>Friday</v>
      </c>
      <c r="C1275" s="12">
        <v>45527</v>
      </c>
      <c r="D1275" s="4">
        <v>0.44389211805555556</v>
      </c>
      <c r="E12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75" t="s">
        <v>5</v>
      </c>
      <c r="G1275" s="2">
        <v>23.02</v>
      </c>
    </row>
    <row r="1276" spans="1:7" x14ac:dyDescent="0.25">
      <c r="A12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240823-LUN001</v>
      </c>
      <c r="B1276" s="1" t="str">
        <f>TEXT(Coffee_sales_clean[[#This Row],[Transaction Date]],"dddd")</f>
        <v>Friday</v>
      </c>
      <c r="C1276" s="12">
        <v>45527</v>
      </c>
      <c r="D1276" s="4">
        <v>0.4673540162037037</v>
      </c>
      <c r="E12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76" t="s">
        <v>1</v>
      </c>
      <c r="G1276" s="2">
        <v>32.82</v>
      </c>
    </row>
    <row r="1277" spans="1:7" x14ac:dyDescent="0.25">
      <c r="A12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240823-LUN002</v>
      </c>
      <c r="B1277" s="1" t="str">
        <f>TEXT(Coffee_sales_clean[[#This Row],[Transaction Date]],"dddd")</f>
        <v>Friday</v>
      </c>
      <c r="C1277" s="12">
        <v>45527</v>
      </c>
      <c r="D1277" s="4">
        <v>0.55896699074074074</v>
      </c>
      <c r="E12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77" t="s">
        <v>2</v>
      </c>
      <c r="G1277" s="2">
        <v>23.02</v>
      </c>
    </row>
    <row r="1278" spans="1:7" x14ac:dyDescent="0.25">
      <c r="A12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240823-AFT001</v>
      </c>
      <c r="B1278" s="1" t="str">
        <f>TEXT(Coffee_sales_clean[[#This Row],[Transaction Date]],"dddd")</f>
        <v>Friday</v>
      </c>
      <c r="C1278" s="12">
        <v>45527</v>
      </c>
      <c r="D1278" s="4">
        <v>0.64505531250000003</v>
      </c>
      <c r="E12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78" t="s">
        <v>2</v>
      </c>
      <c r="G1278" s="2">
        <v>23.02</v>
      </c>
    </row>
    <row r="1279" spans="1:7" x14ac:dyDescent="0.25">
      <c r="A12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240823-EVE001</v>
      </c>
      <c r="B1279" s="1" t="str">
        <f>TEXT(Coffee_sales_clean[[#This Row],[Transaction Date]],"dddd")</f>
        <v>Friday</v>
      </c>
      <c r="C1279" s="12">
        <v>45527</v>
      </c>
      <c r="D1279" s="4">
        <v>0.82503248842592591</v>
      </c>
      <c r="E12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279" t="s">
        <v>0</v>
      </c>
      <c r="G1279" s="2">
        <v>32.82</v>
      </c>
    </row>
    <row r="1280" spans="1:7" x14ac:dyDescent="0.25">
      <c r="A12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240824-MOR001</v>
      </c>
      <c r="B1280" s="1" t="str">
        <f>TEXT(Coffee_sales_clean[[#This Row],[Transaction Date]],"dddd")</f>
        <v>Saturday</v>
      </c>
      <c r="C1280" s="12">
        <v>45528</v>
      </c>
      <c r="D1280" s="4">
        <v>0.34285034722222224</v>
      </c>
      <c r="E12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0" t="s">
        <v>5</v>
      </c>
      <c r="G1280" s="2">
        <v>23.02</v>
      </c>
    </row>
    <row r="1281" spans="1:7" x14ac:dyDescent="0.25">
      <c r="A12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240824-MOR002</v>
      </c>
      <c r="B1281" s="1" t="str">
        <f>TEXT(Coffee_sales_clean[[#This Row],[Transaction Date]],"dddd")</f>
        <v>Saturday</v>
      </c>
      <c r="C1281" s="12">
        <v>45528</v>
      </c>
      <c r="D1281" s="4">
        <v>0.34360690972222224</v>
      </c>
      <c r="E12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1" t="s">
        <v>5</v>
      </c>
      <c r="G1281" s="2">
        <v>23.02</v>
      </c>
    </row>
    <row r="1282" spans="1:7" x14ac:dyDescent="0.25">
      <c r="A12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240824-MOR003</v>
      </c>
      <c r="B1282" s="1" t="str">
        <f>TEXT(Coffee_sales_clean[[#This Row],[Transaction Date]],"dddd")</f>
        <v>Saturday</v>
      </c>
      <c r="C1282" s="12">
        <v>45528</v>
      </c>
      <c r="D1282" s="4">
        <v>0.36402285879629631</v>
      </c>
      <c r="E12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2" t="s">
        <v>5</v>
      </c>
      <c r="G1282" s="2">
        <v>23.02</v>
      </c>
    </row>
    <row r="1283" spans="1:7" x14ac:dyDescent="0.25">
      <c r="A12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240824-MOR004</v>
      </c>
      <c r="B1283" s="1" t="str">
        <f>TEXT(Coffee_sales_clean[[#This Row],[Transaction Date]],"dddd")</f>
        <v>Saturday</v>
      </c>
      <c r="C1283" s="12">
        <v>45528</v>
      </c>
      <c r="D1283" s="4">
        <v>0.42927644675925924</v>
      </c>
      <c r="E12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3" t="s">
        <v>6</v>
      </c>
      <c r="G1283" s="2">
        <v>18.12</v>
      </c>
    </row>
    <row r="1284" spans="1:7" x14ac:dyDescent="0.25">
      <c r="A12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240824-MOR005</v>
      </c>
      <c r="B1284" s="1" t="str">
        <f>TEXT(Coffee_sales_clean[[#This Row],[Transaction Date]],"dddd")</f>
        <v>Saturday</v>
      </c>
      <c r="C1284" s="12">
        <v>45528</v>
      </c>
      <c r="D1284" s="4">
        <v>0.42977156249999998</v>
      </c>
      <c r="E12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4" t="s">
        <v>6</v>
      </c>
      <c r="G1284" s="2">
        <v>18.12</v>
      </c>
    </row>
    <row r="1285" spans="1:7" x14ac:dyDescent="0.25">
      <c r="A12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240824-MOR006</v>
      </c>
      <c r="B1285" s="1" t="str">
        <f>TEXT(Coffee_sales_clean[[#This Row],[Transaction Date]],"dddd")</f>
        <v>Saturday</v>
      </c>
      <c r="C1285" s="12">
        <v>45528</v>
      </c>
      <c r="D1285" s="4">
        <v>0.43043105324074071</v>
      </c>
      <c r="E12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5" t="s">
        <v>2</v>
      </c>
      <c r="G1285" s="2">
        <v>23.02</v>
      </c>
    </row>
    <row r="1286" spans="1:7" x14ac:dyDescent="0.25">
      <c r="A12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240825-MOR001</v>
      </c>
      <c r="B1286" s="1" t="str">
        <f>TEXT(Coffee_sales_clean[[#This Row],[Transaction Date]],"dddd")</f>
        <v>Sunday</v>
      </c>
      <c r="C1286" s="12">
        <v>45529</v>
      </c>
      <c r="D1286" s="4">
        <v>0.34348821759259257</v>
      </c>
      <c r="E12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6" t="s">
        <v>5</v>
      </c>
      <c r="G1286" s="2">
        <v>23.02</v>
      </c>
    </row>
    <row r="1287" spans="1:7" x14ac:dyDescent="0.25">
      <c r="A12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240825-MOR002</v>
      </c>
      <c r="B1287" s="1" t="str">
        <f>TEXT(Coffee_sales_clean[[#This Row],[Transaction Date]],"dddd")</f>
        <v>Sunday</v>
      </c>
      <c r="C1287" s="12">
        <v>45529</v>
      </c>
      <c r="D1287" s="4">
        <v>0.3517091550925926</v>
      </c>
      <c r="E12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7" t="s">
        <v>2</v>
      </c>
      <c r="G1287" s="2">
        <v>23.02</v>
      </c>
    </row>
    <row r="1288" spans="1:7" x14ac:dyDescent="0.25">
      <c r="A12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240825-MOR003</v>
      </c>
      <c r="B1288" s="1" t="str">
        <f>TEXT(Coffee_sales_clean[[#This Row],[Transaction Date]],"dddd")</f>
        <v>Sunday</v>
      </c>
      <c r="C1288" s="12">
        <v>45529</v>
      </c>
      <c r="D1288" s="4">
        <v>0.35250468750000002</v>
      </c>
      <c r="E12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8" t="s">
        <v>2</v>
      </c>
      <c r="G1288" s="2">
        <v>23.02</v>
      </c>
    </row>
    <row r="1289" spans="1:7" x14ac:dyDescent="0.25">
      <c r="A12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240825-MOR004</v>
      </c>
      <c r="B1289" s="1" t="str">
        <f>TEXT(Coffee_sales_clean[[#This Row],[Transaction Date]],"dddd")</f>
        <v>Sunday</v>
      </c>
      <c r="C1289" s="12">
        <v>45529</v>
      </c>
      <c r="D1289" s="4">
        <v>0.3919243634259259</v>
      </c>
      <c r="E12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89" t="s">
        <v>7</v>
      </c>
      <c r="G1289" s="2">
        <v>32.82</v>
      </c>
    </row>
    <row r="1290" spans="1:7" x14ac:dyDescent="0.25">
      <c r="A12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240825-LUN001</v>
      </c>
      <c r="B1290" s="1" t="str">
        <f>TEXT(Coffee_sales_clean[[#This Row],[Transaction Date]],"dddd")</f>
        <v>Sunday</v>
      </c>
      <c r="C1290" s="12">
        <v>45529</v>
      </c>
      <c r="D1290" s="4">
        <v>0.52896646990740737</v>
      </c>
      <c r="E12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90" t="s">
        <v>7</v>
      </c>
      <c r="G1290" s="2">
        <v>32.82</v>
      </c>
    </row>
    <row r="1291" spans="1:7" x14ac:dyDescent="0.25">
      <c r="A12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240825-AFT001</v>
      </c>
      <c r="B1291" s="1" t="str">
        <f>TEXT(Coffee_sales_clean[[#This Row],[Transaction Date]],"dddd")</f>
        <v>Sunday</v>
      </c>
      <c r="C1291" s="12">
        <v>45529</v>
      </c>
      <c r="D1291" s="4">
        <v>0.6201701273148148</v>
      </c>
      <c r="E12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291" t="s">
        <v>0</v>
      </c>
      <c r="G1291" s="2">
        <v>32.82</v>
      </c>
    </row>
    <row r="1292" spans="1:7" x14ac:dyDescent="0.25">
      <c r="A12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240826-MOR001</v>
      </c>
      <c r="B1292" s="1" t="str">
        <f>TEXT(Coffee_sales_clean[[#This Row],[Transaction Date]],"dddd")</f>
        <v>Monday</v>
      </c>
      <c r="C1292" s="12">
        <v>45530</v>
      </c>
      <c r="D1292" s="4">
        <v>0.34151961805555553</v>
      </c>
      <c r="E12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92" t="s">
        <v>5</v>
      </c>
      <c r="G1292" s="2">
        <v>23.02</v>
      </c>
    </row>
    <row r="1293" spans="1:7" x14ac:dyDescent="0.25">
      <c r="A12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240826-MOR002</v>
      </c>
      <c r="B1293" s="1" t="str">
        <f>TEXT(Coffee_sales_clean[[#This Row],[Transaction Date]],"dddd")</f>
        <v>Monday</v>
      </c>
      <c r="C1293" s="12">
        <v>45530</v>
      </c>
      <c r="D1293" s="4">
        <v>0.34455568287037036</v>
      </c>
      <c r="E12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93" t="s">
        <v>2</v>
      </c>
      <c r="G1293" s="2">
        <v>23.02</v>
      </c>
    </row>
    <row r="1294" spans="1:7" x14ac:dyDescent="0.25">
      <c r="A12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240826-MOR003</v>
      </c>
      <c r="B1294" s="1" t="str">
        <f>TEXT(Coffee_sales_clean[[#This Row],[Transaction Date]],"dddd")</f>
        <v>Monday</v>
      </c>
      <c r="C1294" s="12">
        <v>45530</v>
      </c>
      <c r="D1294" s="4">
        <v>0.34540751157407407</v>
      </c>
      <c r="E12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94" t="s">
        <v>2</v>
      </c>
      <c r="G1294" s="2">
        <v>23.02</v>
      </c>
    </row>
    <row r="1295" spans="1:7" x14ac:dyDescent="0.25">
      <c r="A12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240826-MOR004</v>
      </c>
      <c r="B1295" s="1" t="str">
        <f>TEXT(Coffee_sales_clean[[#This Row],[Transaction Date]],"dddd")</f>
        <v>Monday</v>
      </c>
      <c r="C1295" s="12">
        <v>45530</v>
      </c>
      <c r="D1295" s="4">
        <v>0.39000817129629628</v>
      </c>
      <c r="E12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95" t="s">
        <v>3</v>
      </c>
      <c r="G1295" s="2">
        <v>27.92</v>
      </c>
    </row>
    <row r="1296" spans="1:7" x14ac:dyDescent="0.25">
      <c r="A12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240826-MOR005</v>
      </c>
      <c r="B1296" s="1" t="str">
        <f>TEXT(Coffee_sales_clean[[#This Row],[Transaction Date]],"dddd")</f>
        <v>Monday</v>
      </c>
      <c r="C1296" s="12">
        <v>45530</v>
      </c>
      <c r="D1296" s="4">
        <v>0.44287574074074076</v>
      </c>
      <c r="E12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96" t="s">
        <v>0</v>
      </c>
      <c r="G1296" s="2">
        <v>32.82</v>
      </c>
    </row>
    <row r="1297" spans="1:7" x14ac:dyDescent="0.25">
      <c r="A12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240826-MOR006</v>
      </c>
      <c r="B1297" s="1" t="str">
        <f>TEXT(Coffee_sales_clean[[#This Row],[Transaction Date]],"dddd")</f>
        <v>Monday</v>
      </c>
      <c r="C1297" s="12">
        <v>45530</v>
      </c>
      <c r="D1297" s="4">
        <v>0.44362311342592592</v>
      </c>
      <c r="E12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297" t="s">
        <v>7</v>
      </c>
      <c r="G1297" s="2">
        <v>32.82</v>
      </c>
    </row>
    <row r="1298" spans="1:7" x14ac:dyDescent="0.25">
      <c r="A12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240826-LUN001</v>
      </c>
      <c r="B1298" s="1" t="str">
        <f>TEXT(Coffee_sales_clean[[#This Row],[Transaction Date]],"dddd")</f>
        <v>Monday</v>
      </c>
      <c r="C1298" s="12">
        <v>45530</v>
      </c>
      <c r="D1298" s="4">
        <v>0.53140229166666664</v>
      </c>
      <c r="E12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98" t="s">
        <v>2</v>
      </c>
      <c r="G1298" s="2">
        <v>23.02</v>
      </c>
    </row>
    <row r="1299" spans="1:7" x14ac:dyDescent="0.25">
      <c r="A12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240826-LUN002</v>
      </c>
      <c r="B1299" s="1" t="str">
        <f>TEXT(Coffee_sales_clean[[#This Row],[Transaction Date]],"dddd")</f>
        <v>Monday</v>
      </c>
      <c r="C1299" s="12">
        <v>45530</v>
      </c>
      <c r="D1299" s="4">
        <v>0.53221810185185181</v>
      </c>
      <c r="E12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299" t="s">
        <v>2</v>
      </c>
      <c r="G1299" s="2">
        <v>23.02</v>
      </c>
    </row>
    <row r="1300" spans="1:7" x14ac:dyDescent="0.25">
      <c r="A13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240826-EVE001</v>
      </c>
      <c r="B1300" s="1" t="str">
        <f>TEXT(Coffee_sales_clean[[#This Row],[Transaction Date]],"dddd")</f>
        <v>Monday</v>
      </c>
      <c r="C1300" s="12">
        <v>45530</v>
      </c>
      <c r="D1300" s="4">
        <v>0.78712719907407402</v>
      </c>
      <c r="E13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00" t="s">
        <v>3</v>
      </c>
      <c r="G1300" s="2">
        <v>27.92</v>
      </c>
    </row>
    <row r="1301" spans="1:7" x14ac:dyDescent="0.25">
      <c r="A13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240826-EVE002</v>
      </c>
      <c r="B1301" s="1" t="str">
        <f>TEXT(Coffee_sales_clean[[#This Row],[Transaction Date]],"dddd")</f>
        <v>Monday</v>
      </c>
      <c r="C1301" s="12">
        <v>45530</v>
      </c>
      <c r="D1301" s="4">
        <v>0.78786216435185186</v>
      </c>
      <c r="E13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01" t="s">
        <v>0</v>
      </c>
      <c r="G1301" s="2">
        <v>32.82</v>
      </c>
    </row>
    <row r="1302" spans="1:7" x14ac:dyDescent="0.25">
      <c r="A13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240826-LAT001</v>
      </c>
      <c r="B1302" s="1" t="str">
        <f>TEXT(Coffee_sales_clean[[#This Row],[Transaction Date]],"dddd")</f>
        <v>Monday</v>
      </c>
      <c r="C1302" s="12">
        <v>45530</v>
      </c>
      <c r="D1302" s="4">
        <v>0.95532297453703707</v>
      </c>
      <c r="E13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02" t="s">
        <v>3</v>
      </c>
      <c r="G1302" s="2">
        <v>27.92</v>
      </c>
    </row>
    <row r="1303" spans="1:7" x14ac:dyDescent="0.25">
      <c r="A13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240827-MOR001</v>
      </c>
      <c r="B1303" s="1" t="str">
        <f>TEXT(Coffee_sales_clean[[#This Row],[Transaction Date]],"dddd")</f>
        <v>Tuesday</v>
      </c>
      <c r="C1303" s="12">
        <v>45531</v>
      </c>
      <c r="D1303" s="4">
        <v>0.41949725694444445</v>
      </c>
      <c r="E13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03" t="s">
        <v>0</v>
      </c>
      <c r="G1303" s="2">
        <v>32.82</v>
      </c>
    </row>
    <row r="1304" spans="1:7" x14ac:dyDescent="0.25">
      <c r="A13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240828-LUN001</v>
      </c>
      <c r="B1304" s="1" t="str">
        <f>TEXT(Coffee_sales_clean[[#This Row],[Transaction Date]],"dddd")</f>
        <v>Wednesday</v>
      </c>
      <c r="C1304" s="12">
        <v>45532</v>
      </c>
      <c r="D1304" s="4">
        <v>0.50577282407407409</v>
      </c>
      <c r="E13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04" t="s">
        <v>3</v>
      </c>
      <c r="G1304" s="2">
        <v>27.92</v>
      </c>
    </row>
    <row r="1305" spans="1:7" x14ac:dyDescent="0.25">
      <c r="A13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240828-LUN002</v>
      </c>
      <c r="B1305" s="1" t="str">
        <f>TEXT(Coffee_sales_clean[[#This Row],[Transaction Date]],"dddd")</f>
        <v>Wednesday</v>
      </c>
      <c r="C1305" s="12">
        <v>45532</v>
      </c>
      <c r="D1305" s="4">
        <v>0.50699234953703709</v>
      </c>
      <c r="E13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05" t="s">
        <v>7</v>
      </c>
      <c r="G1305" s="2">
        <v>32.82</v>
      </c>
    </row>
    <row r="1306" spans="1:7" x14ac:dyDescent="0.25">
      <c r="A13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240828-LUN003</v>
      </c>
      <c r="B1306" s="1" t="str">
        <f>TEXT(Coffee_sales_clean[[#This Row],[Transaction Date]],"dddd")</f>
        <v>Wednesday</v>
      </c>
      <c r="C1306" s="12">
        <v>45532</v>
      </c>
      <c r="D1306" s="4">
        <v>0.52438592592592592</v>
      </c>
      <c r="E13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06" t="s">
        <v>2</v>
      </c>
      <c r="G1306" s="2">
        <v>23.02</v>
      </c>
    </row>
    <row r="1307" spans="1:7" x14ac:dyDescent="0.25">
      <c r="A13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240828-LUN004</v>
      </c>
      <c r="B1307" s="1" t="str">
        <f>TEXT(Coffee_sales_clean[[#This Row],[Transaction Date]],"dddd")</f>
        <v>Wednesday</v>
      </c>
      <c r="C1307" s="12">
        <v>45532</v>
      </c>
      <c r="D1307" s="4">
        <v>0.57540739583333333</v>
      </c>
      <c r="E13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07" t="s">
        <v>3</v>
      </c>
      <c r="G1307" s="2">
        <v>27.92</v>
      </c>
    </row>
    <row r="1308" spans="1:7" x14ac:dyDescent="0.25">
      <c r="A13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240829-MOR001</v>
      </c>
      <c r="B1308" s="1" t="str">
        <f>TEXT(Coffee_sales_clean[[#This Row],[Transaction Date]],"dddd")</f>
        <v>Thursday</v>
      </c>
      <c r="C1308" s="12">
        <v>45533</v>
      </c>
      <c r="D1308" s="4">
        <v>0.31215646990740742</v>
      </c>
      <c r="E13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08" t="s">
        <v>2</v>
      </c>
      <c r="G1308" s="2">
        <v>23.02</v>
      </c>
    </row>
    <row r="1309" spans="1:7" x14ac:dyDescent="0.25">
      <c r="A13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240830-EVE001</v>
      </c>
      <c r="B1309" s="1" t="str">
        <f>TEXT(Coffee_sales_clean[[#This Row],[Transaction Date]],"dddd")</f>
        <v>Friday</v>
      </c>
      <c r="C1309" s="12">
        <v>45534</v>
      </c>
      <c r="D1309" s="4">
        <v>0.71771396990740743</v>
      </c>
      <c r="E13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09" t="s">
        <v>0</v>
      </c>
      <c r="G1309" s="2">
        <v>32.82</v>
      </c>
    </row>
    <row r="1310" spans="1:7" x14ac:dyDescent="0.25">
      <c r="A13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240830-EVE002</v>
      </c>
      <c r="B1310" s="1" t="str">
        <f>TEXT(Coffee_sales_clean[[#This Row],[Transaction Date]],"dddd")</f>
        <v>Friday</v>
      </c>
      <c r="C1310" s="12">
        <v>45534</v>
      </c>
      <c r="D1310" s="4">
        <v>0.7184350810185185</v>
      </c>
      <c r="E13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10" t="s">
        <v>3</v>
      </c>
      <c r="G1310" s="2">
        <v>27.92</v>
      </c>
    </row>
    <row r="1311" spans="1:7" x14ac:dyDescent="0.25">
      <c r="A13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240830-EVE003</v>
      </c>
      <c r="B1311" s="1" t="str">
        <f>TEXT(Coffee_sales_clean[[#This Row],[Transaction Date]],"dddd")</f>
        <v>Friday</v>
      </c>
      <c r="C1311" s="12">
        <v>45534</v>
      </c>
      <c r="D1311" s="4">
        <v>0.71916028935185183</v>
      </c>
      <c r="E13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11" t="s">
        <v>3</v>
      </c>
      <c r="G1311" s="2">
        <v>27.92</v>
      </c>
    </row>
    <row r="1312" spans="1:7" x14ac:dyDescent="0.25">
      <c r="A13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240831-MOR001</v>
      </c>
      <c r="B1312" s="1" t="str">
        <f>TEXT(Coffee_sales_clean[[#This Row],[Transaction Date]],"dddd")</f>
        <v>Saturday</v>
      </c>
      <c r="C1312" s="12">
        <v>45535</v>
      </c>
      <c r="D1312" s="4">
        <v>0.38093156249999999</v>
      </c>
      <c r="E13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12" t="s">
        <v>5</v>
      </c>
      <c r="G1312" s="2">
        <v>23.02</v>
      </c>
    </row>
    <row r="1313" spans="1:7" x14ac:dyDescent="0.25">
      <c r="A13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240831-MOR002</v>
      </c>
      <c r="B1313" s="1" t="str">
        <f>TEXT(Coffee_sales_clean[[#This Row],[Transaction Date]],"dddd")</f>
        <v>Saturday</v>
      </c>
      <c r="C1313" s="12">
        <v>45535</v>
      </c>
      <c r="D1313" s="4">
        <v>0.41815038194444443</v>
      </c>
      <c r="E13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13" t="s">
        <v>3</v>
      </c>
      <c r="G1313" s="2">
        <v>27.92</v>
      </c>
    </row>
    <row r="1314" spans="1:7" x14ac:dyDescent="0.25">
      <c r="A13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240831-MOR003</v>
      </c>
      <c r="B1314" s="1" t="str">
        <f>TEXT(Coffee_sales_clean[[#This Row],[Transaction Date]],"dddd")</f>
        <v>Saturday</v>
      </c>
      <c r="C1314" s="12">
        <v>45535</v>
      </c>
      <c r="D1314" s="4">
        <v>0.43225552083333335</v>
      </c>
      <c r="E13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14" t="s">
        <v>6</v>
      </c>
      <c r="G1314" s="2">
        <v>18.12</v>
      </c>
    </row>
    <row r="1315" spans="1:7" x14ac:dyDescent="0.25">
      <c r="A13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240831-LUN001</v>
      </c>
      <c r="B1315" s="1" t="str">
        <f>TEXT(Coffee_sales_clean[[#This Row],[Transaction Date]],"dddd")</f>
        <v>Saturday</v>
      </c>
      <c r="C1315" s="12">
        <v>45535</v>
      </c>
      <c r="D1315" s="4">
        <v>0.4791038310185185</v>
      </c>
      <c r="E13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15" t="s">
        <v>3</v>
      </c>
      <c r="G1315" s="2">
        <v>27.92</v>
      </c>
    </row>
    <row r="1316" spans="1:7" x14ac:dyDescent="0.25">
      <c r="A13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240831-LUN002</v>
      </c>
      <c r="B1316" s="1" t="str">
        <f>TEXT(Coffee_sales_clean[[#This Row],[Transaction Date]],"dddd")</f>
        <v>Saturday</v>
      </c>
      <c r="C1316" s="12">
        <v>45535</v>
      </c>
      <c r="D1316" s="4">
        <v>0.48171199074074073</v>
      </c>
      <c r="E13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16" t="s">
        <v>5</v>
      </c>
      <c r="G1316" s="2">
        <v>23.02</v>
      </c>
    </row>
    <row r="1317" spans="1:7" x14ac:dyDescent="0.25">
      <c r="A13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240831-LUN003</v>
      </c>
      <c r="B1317" s="1" t="str">
        <f>TEXT(Coffee_sales_clean[[#This Row],[Transaction Date]],"dddd")</f>
        <v>Saturday</v>
      </c>
      <c r="C1317" s="12">
        <v>45535</v>
      </c>
      <c r="D1317" s="4">
        <v>0.48232562499999998</v>
      </c>
      <c r="E13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17" t="s">
        <v>5</v>
      </c>
      <c r="G1317" s="2">
        <v>23.02</v>
      </c>
    </row>
    <row r="1318" spans="1:7" x14ac:dyDescent="0.25">
      <c r="A13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240901-MOR001</v>
      </c>
      <c r="B1318" s="1" t="str">
        <f>TEXT(Coffee_sales_clean[[#This Row],[Transaction Date]],"dddd")</f>
        <v>Sunday</v>
      </c>
      <c r="C1318" s="12">
        <v>45536</v>
      </c>
      <c r="D1318" s="4">
        <v>0.39878737268518516</v>
      </c>
      <c r="E13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18" t="s">
        <v>5</v>
      </c>
      <c r="G1318" s="2">
        <v>23.02</v>
      </c>
    </row>
    <row r="1319" spans="1:7" x14ac:dyDescent="0.25">
      <c r="A13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240901-LUN001</v>
      </c>
      <c r="B1319" s="1" t="str">
        <f>TEXT(Coffee_sales_clean[[#This Row],[Transaction Date]],"dddd")</f>
        <v>Sunday</v>
      </c>
      <c r="C1319" s="12">
        <v>45536</v>
      </c>
      <c r="D1319" s="4">
        <v>0.50792528935185188</v>
      </c>
      <c r="E13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19" t="s">
        <v>7</v>
      </c>
      <c r="G1319" s="2">
        <v>32.82</v>
      </c>
    </row>
    <row r="1320" spans="1:7" x14ac:dyDescent="0.25">
      <c r="A13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240901-LUN002</v>
      </c>
      <c r="B1320" s="1" t="str">
        <f>TEXT(Coffee_sales_clean[[#This Row],[Transaction Date]],"dddd")</f>
        <v>Sunday</v>
      </c>
      <c r="C1320" s="12">
        <v>45536</v>
      </c>
      <c r="D1320" s="4">
        <v>0.52093310185185182</v>
      </c>
      <c r="E13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20" t="s">
        <v>3</v>
      </c>
      <c r="G1320" s="2">
        <v>27.92</v>
      </c>
    </row>
    <row r="1321" spans="1:7" x14ac:dyDescent="0.25">
      <c r="A13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240901-LUN003</v>
      </c>
      <c r="B1321" s="1" t="str">
        <f>TEXT(Coffee_sales_clean[[#This Row],[Transaction Date]],"dddd")</f>
        <v>Sunday</v>
      </c>
      <c r="C1321" s="12">
        <v>45536</v>
      </c>
      <c r="D1321" s="4">
        <v>0.52247693287037034</v>
      </c>
      <c r="E13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21" t="s">
        <v>2</v>
      </c>
      <c r="G1321" s="2">
        <v>23.02</v>
      </c>
    </row>
    <row r="1322" spans="1:7" x14ac:dyDescent="0.25">
      <c r="A13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240901-LUN004</v>
      </c>
      <c r="B1322" s="1" t="str">
        <f>TEXT(Coffee_sales_clean[[#This Row],[Transaction Date]],"dddd")</f>
        <v>Sunday</v>
      </c>
      <c r="C1322" s="12">
        <v>45536</v>
      </c>
      <c r="D1322" s="4">
        <v>0.53492416666666665</v>
      </c>
      <c r="E13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22" t="s">
        <v>3</v>
      </c>
      <c r="G1322" s="2">
        <v>27.92</v>
      </c>
    </row>
    <row r="1323" spans="1:7" x14ac:dyDescent="0.25">
      <c r="A13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240901-LUN005</v>
      </c>
      <c r="B1323" s="1" t="str">
        <f>TEXT(Coffee_sales_clean[[#This Row],[Transaction Date]],"dddd")</f>
        <v>Sunday</v>
      </c>
      <c r="C1323" s="12">
        <v>45536</v>
      </c>
      <c r="D1323" s="4">
        <v>0.58164291666666668</v>
      </c>
      <c r="E13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23" t="s">
        <v>0</v>
      </c>
      <c r="G1323" s="2">
        <v>32.82</v>
      </c>
    </row>
    <row r="1324" spans="1:7" x14ac:dyDescent="0.25">
      <c r="A13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240901-AFT001</v>
      </c>
      <c r="B1324" s="1" t="str">
        <f>TEXT(Coffee_sales_clean[[#This Row],[Transaction Date]],"dddd")</f>
        <v>Sunday</v>
      </c>
      <c r="C1324" s="12">
        <v>45536</v>
      </c>
      <c r="D1324" s="4">
        <v>0.61393549768518518</v>
      </c>
      <c r="E13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24" t="s">
        <v>3</v>
      </c>
      <c r="G1324" s="2">
        <v>27.92</v>
      </c>
    </row>
    <row r="1325" spans="1:7" x14ac:dyDescent="0.25">
      <c r="A13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240901-EVE001</v>
      </c>
      <c r="B1325" s="1" t="str">
        <f>TEXT(Coffee_sales_clean[[#This Row],[Transaction Date]],"dddd")</f>
        <v>Sunday</v>
      </c>
      <c r="C1325" s="12">
        <v>45536</v>
      </c>
      <c r="D1325" s="4">
        <v>0.72275841435185184</v>
      </c>
      <c r="E13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25" t="s">
        <v>0</v>
      </c>
      <c r="G1325" s="2">
        <v>32.82</v>
      </c>
    </row>
    <row r="1326" spans="1:7" x14ac:dyDescent="0.25">
      <c r="A13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240901-EVE002</v>
      </c>
      <c r="B1326" s="1" t="str">
        <f>TEXT(Coffee_sales_clean[[#This Row],[Transaction Date]],"dddd")</f>
        <v>Sunday</v>
      </c>
      <c r="C1326" s="12">
        <v>45536</v>
      </c>
      <c r="D1326" s="4">
        <v>0.72446607638888894</v>
      </c>
      <c r="E13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26" t="s">
        <v>0</v>
      </c>
      <c r="G1326" s="2">
        <v>32.82</v>
      </c>
    </row>
    <row r="1327" spans="1:7" x14ac:dyDescent="0.25">
      <c r="A13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240901-EVE003</v>
      </c>
      <c r="B1327" s="1" t="str">
        <f>TEXT(Coffee_sales_clean[[#This Row],[Transaction Date]],"dddd")</f>
        <v>Sunday</v>
      </c>
      <c r="C1327" s="12">
        <v>45536</v>
      </c>
      <c r="D1327" s="4">
        <v>0.72557510416666671</v>
      </c>
      <c r="E13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27" t="s">
        <v>0</v>
      </c>
      <c r="G1327" s="2">
        <v>32.82</v>
      </c>
    </row>
    <row r="1328" spans="1:7" x14ac:dyDescent="0.25">
      <c r="A13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240902-MOR001</v>
      </c>
      <c r="B1328" s="1" t="str">
        <f>TEXT(Coffee_sales_clean[[#This Row],[Transaction Date]],"dddd")</f>
        <v>Monday</v>
      </c>
      <c r="C1328" s="12">
        <v>45537</v>
      </c>
      <c r="D1328" s="4">
        <v>0.35046070601851853</v>
      </c>
      <c r="E13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28" t="s">
        <v>0</v>
      </c>
      <c r="G1328" s="2">
        <v>32.82</v>
      </c>
    </row>
    <row r="1329" spans="1:7" x14ac:dyDescent="0.25">
      <c r="A13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240902-MOR002</v>
      </c>
      <c r="B1329" s="1" t="str">
        <f>TEXT(Coffee_sales_clean[[#This Row],[Transaction Date]],"dddd")</f>
        <v>Monday</v>
      </c>
      <c r="C1329" s="12">
        <v>45537</v>
      </c>
      <c r="D1329" s="4">
        <v>0.36825979166666667</v>
      </c>
      <c r="E13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29" t="s">
        <v>3</v>
      </c>
      <c r="G1329" s="2">
        <v>27.92</v>
      </c>
    </row>
    <row r="1330" spans="1:7" x14ac:dyDescent="0.25">
      <c r="A13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240902-MOR003</v>
      </c>
      <c r="B1330" s="1" t="str">
        <f>TEXT(Coffee_sales_clean[[#This Row],[Transaction Date]],"dddd")</f>
        <v>Monday</v>
      </c>
      <c r="C1330" s="12">
        <v>45537</v>
      </c>
      <c r="D1330" s="4">
        <v>0.36913365740740739</v>
      </c>
      <c r="E13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30" t="s">
        <v>0</v>
      </c>
      <c r="G1330" s="2">
        <v>32.82</v>
      </c>
    </row>
    <row r="1331" spans="1:7" x14ac:dyDescent="0.25">
      <c r="A13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240902-AFT001</v>
      </c>
      <c r="B1331" s="1" t="str">
        <f>TEXT(Coffee_sales_clean[[#This Row],[Transaction Date]],"dddd")</f>
        <v>Monday</v>
      </c>
      <c r="C1331" s="12">
        <v>45537</v>
      </c>
      <c r="D1331" s="4">
        <v>0.62415674768518514</v>
      </c>
      <c r="E13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31" t="s">
        <v>3</v>
      </c>
      <c r="G1331" s="2">
        <v>27.92</v>
      </c>
    </row>
    <row r="1332" spans="1:7" x14ac:dyDescent="0.25">
      <c r="A13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240902-LAT001</v>
      </c>
      <c r="B1332" s="1" t="str">
        <f>TEXT(Coffee_sales_clean[[#This Row],[Transaction Date]],"dddd")</f>
        <v>Monday</v>
      </c>
      <c r="C1332" s="12">
        <v>45537</v>
      </c>
      <c r="D1332" s="4">
        <v>0.84009170138888889</v>
      </c>
      <c r="E13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32" t="s">
        <v>7</v>
      </c>
      <c r="G1332" s="2">
        <v>32.82</v>
      </c>
    </row>
    <row r="1333" spans="1:7" x14ac:dyDescent="0.25">
      <c r="A13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240902-LAT002</v>
      </c>
      <c r="B1333" s="1" t="str">
        <f>TEXT(Coffee_sales_clean[[#This Row],[Transaction Date]],"dddd")</f>
        <v>Monday</v>
      </c>
      <c r="C1333" s="12">
        <v>45537</v>
      </c>
      <c r="D1333" s="4">
        <v>0.84117981481481485</v>
      </c>
      <c r="E13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33" t="s">
        <v>4</v>
      </c>
      <c r="G1333" s="2">
        <v>32.82</v>
      </c>
    </row>
    <row r="1334" spans="1:7" x14ac:dyDescent="0.25">
      <c r="A13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240902-LAT003</v>
      </c>
      <c r="B1334" s="1" t="str">
        <f>TEXT(Coffee_sales_clean[[#This Row],[Transaction Date]],"dddd")</f>
        <v>Monday</v>
      </c>
      <c r="C1334" s="12">
        <v>45537</v>
      </c>
      <c r="D1334" s="4">
        <v>0.86981462962962963</v>
      </c>
      <c r="E13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34" t="s">
        <v>2</v>
      </c>
      <c r="G1334" s="2">
        <v>23.02</v>
      </c>
    </row>
    <row r="1335" spans="1:7" x14ac:dyDescent="0.25">
      <c r="A13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240902-LAT004</v>
      </c>
      <c r="B1335" s="1" t="str">
        <f>TEXT(Coffee_sales_clean[[#This Row],[Transaction Date]],"dddd")</f>
        <v>Monday</v>
      </c>
      <c r="C1335" s="12">
        <v>45537</v>
      </c>
      <c r="D1335" s="4">
        <v>0.87047557870370373</v>
      </c>
      <c r="E13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35" t="s">
        <v>2</v>
      </c>
      <c r="G1335" s="2">
        <v>23.02</v>
      </c>
    </row>
    <row r="1336" spans="1:7" x14ac:dyDescent="0.25">
      <c r="A13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240903-MOR001</v>
      </c>
      <c r="B1336" s="1" t="str">
        <f>TEXT(Coffee_sales_clean[[#This Row],[Transaction Date]],"dddd")</f>
        <v>Tuesday</v>
      </c>
      <c r="C1336" s="12">
        <v>45538</v>
      </c>
      <c r="D1336" s="4">
        <v>0.34878898148148146</v>
      </c>
      <c r="E13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36" t="s">
        <v>4</v>
      </c>
      <c r="G1336" s="2">
        <v>32.82</v>
      </c>
    </row>
    <row r="1337" spans="1:7" x14ac:dyDescent="0.25">
      <c r="A13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240903-MOR002</v>
      </c>
      <c r="B1337" s="1" t="str">
        <f>TEXT(Coffee_sales_clean[[#This Row],[Transaction Date]],"dddd")</f>
        <v>Tuesday</v>
      </c>
      <c r="C1337" s="12">
        <v>45538</v>
      </c>
      <c r="D1337" s="4">
        <v>0.35292164351851851</v>
      </c>
      <c r="E13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37" t="s">
        <v>7</v>
      </c>
      <c r="G1337" s="2">
        <v>32.82</v>
      </c>
    </row>
    <row r="1338" spans="1:7" x14ac:dyDescent="0.25">
      <c r="A13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240903-MOR003</v>
      </c>
      <c r="B1338" s="1" t="str">
        <f>TEXT(Coffee_sales_clean[[#This Row],[Transaction Date]],"dddd")</f>
        <v>Tuesday</v>
      </c>
      <c r="C1338" s="12">
        <v>45538</v>
      </c>
      <c r="D1338" s="4">
        <v>0.36194094907407409</v>
      </c>
      <c r="E13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38" t="s">
        <v>0</v>
      </c>
      <c r="G1338" s="2">
        <v>32.82</v>
      </c>
    </row>
    <row r="1339" spans="1:7" x14ac:dyDescent="0.25">
      <c r="A13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240903-MOR004</v>
      </c>
      <c r="B1339" s="1" t="str">
        <f>TEXT(Coffee_sales_clean[[#This Row],[Transaction Date]],"dddd")</f>
        <v>Tuesday</v>
      </c>
      <c r="C1339" s="12">
        <v>45538</v>
      </c>
      <c r="D1339" s="4">
        <v>0.37722769675925927</v>
      </c>
      <c r="E13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39" t="s">
        <v>3</v>
      </c>
      <c r="G1339" s="2">
        <v>27.92</v>
      </c>
    </row>
    <row r="1340" spans="1:7" x14ac:dyDescent="0.25">
      <c r="A13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240903-MOR005</v>
      </c>
      <c r="B1340" s="1" t="str">
        <f>TEXT(Coffee_sales_clean[[#This Row],[Transaction Date]],"dddd")</f>
        <v>Tuesday</v>
      </c>
      <c r="C1340" s="12">
        <v>45538</v>
      </c>
      <c r="D1340" s="4">
        <v>0.37791377314814817</v>
      </c>
      <c r="E13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40" t="s">
        <v>7</v>
      </c>
      <c r="G1340" s="2">
        <v>32.82</v>
      </c>
    </row>
    <row r="1341" spans="1:7" x14ac:dyDescent="0.25">
      <c r="A13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240903-MOR006</v>
      </c>
      <c r="B1341" s="1" t="str">
        <f>TEXT(Coffee_sales_clean[[#This Row],[Transaction Date]],"dddd")</f>
        <v>Tuesday</v>
      </c>
      <c r="C1341" s="12">
        <v>45538</v>
      </c>
      <c r="D1341" s="4">
        <v>0.38389067129629628</v>
      </c>
      <c r="E13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41" t="s">
        <v>4</v>
      </c>
      <c r="G1341" s="2">
        <v>32.82</v>
      </c>
    </row>
    <row r="1342" spans="1:7" x14ac:dyDescent="0.25">
      <c r="A13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240903-MOR007</v>
      </c>
      <c r="B1342" s="1" t="str">
        <f>TEXT(Coffee_sales_clean[[#This Row],[Transaction Date]],"dddd")</f>
        <v>Tuesday</v>
      </c>
      <c r="C1342" s="12">
        <v>45538</v>
      </c>
      <c r="D1342" s="4">
        <v>0.38441730324074075</v>
      </c>
      <c r="E13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42" t="s">
        <v>4</v>
      </c>
      <c r="G1342" s="2">
        <v>32.82</v>
      </c>
    </row>
    <row r="1343" spans="1:7" x14ac:dyDescent="0.25">
      <c r="A13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240903-MOR008</v>
      </c>
      <c r="B1343" s="1" t="str">
        <f>TEXT(Coffee_sales_clean[[#This Row],[Transaction Date]],"dddd")</f>
        <v>Tuesday</v>
      </c>
      <c r="C1343" s="12">
        <v>45538</v>
      </c>
      <c r="D1343" s="4">
        <v>0.38683113425925925</v>
      </c>
      <c r="E13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43" t="s">
        <v>3</v>
      </c>
      <c r="G1343" s="2">
        <v>27.92</v>
      </c>
    </row>
    <row r="1344" spans="1:7" x14ac:dyDescent="0.25">
      <c r="A13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240903-MOR009</v>
      </c>
      <c r="B1344" s="1" t="str">
        <f>TEXT(Coffee_sales_clean[[#This Row],[Transaction Date]],"dddd")</f>
        <v>Tuesday</v>
      </c>
      <c r="C1344" s="12">
        <v>45538</v>
      </c>
      <c r="D1344" s="4">
        <v>0.38908761574074074</v>
      </c>
      <c r="E13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44" t="s">
        <v>3</v>
      </c>
      <c r="G1344" s="2">
        <v>27.92</v>
      </c>
    </row>
    <row r="1345" spans="1:7" x14ac:dyDescent="0.25">
      <c r="A13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240903-MOR010</v>
      </c>
      <c r="B1345" s="1" t="str">
        <f>TEXT(Coffee_sales_clean[[#This Row],[Transaction Date]],"dddd")</f>
        <v>Tuesday</v>
      </c>
      <c r="C1345" s="12">
        <v>45538</v>
      </c>
      <c r="D1345" s="4">
        <v>0.40130002314814817</v>
      </c>
      <c r="E13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45" t="s">
        <v>0</v>
      </c>
      <c r="G1345" s="2">
        <v>32.82</v>
      </c>
    </row>
    <row r="1346" spans="1:7" x14ac:dyDescent="0.25">
      <c r="A13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240903-MOR011</v>
      </c>
      <c r="B1346" s="1" t="str">
        <f>TEXT(Coffee_sales_clean[[#This Row],[Transaction Date]],"dddd")</f>
        <v>Tuesday</v>
      </c>
      <c r="C1346" s="12">
        <v>45538</v>
      </c>
      <c r="D1346" s="4">
        <v>0.4020416550925926</v>
      </c>
      <c r="E13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46" t="s">
        <v>4</v>
      </c>
      <c r="G1346" s="2">
        <v>32.82</v>
      </c>
    </row>
    <row r="1347" spans="1:7" x14ac:dyDescent="0.25">
      <c r="A13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240903-LUN001</v>
      </c>
      <c r="B1347" s="1" t="str">
        <f>TEXT(Coffee_sales_clean[[#This Row],[Transaction Date]],"dddd")</f>
        <v>Tuesday</v>
      </c>
      <c r="C1347" s="12">
        <v>45538</v>
      </c>
      <c r="D1347" s="4">
        <v>0.5395070486111111</v>
      </c>
      <c r="E13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47" t="s">
        <v>5</v>
      </c>
      <c r="G1347" s="2">
        <v>23.02</v>
      </c>
    </row>
    <row r="1348" spans="1:7" x14ac:dyDescent="0.25">
      <c r="A13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240903-AFT001</v>
      </c>
      <c r="B1348" s="1" t="str">
        <f>TEXT(Coffee_sales_clean[[#This Row],[Transaction Date]],"dddd")</f>
        <v>Tuesday</v>
      </c>
      <c r="C1348" s="12">
        <v>45538</v>
      </c>
      <c r="D1348" s="4">
        <v>0.59365406249999997</v>
      </c>
      <c r="E13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48" t="s">
        <v>3</v>
      </c>
      <c r="G1348" s="2">
        <v>27.92</v>
      </c>
    </row>
    <row r="1349" spans="1:7" x14ac:dyDescent="0.25">
      <c r="A13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240903-AFT002</v>
      </c>
      <c r="B1349" s="1" t="str">
        <f>TEXT(Coffee_sales_clean[[#This Row],[Transaction Date]],"dddd")</f>
        <v>Tuesday</v>
      </c>
      <c r="C1349" s="12">
        <v>45538</v>
      </c>
      <c r="D1349" s="4">
        <v>0.59464510416666672</v>
      </c>
      <c r="E13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49" t="s">
        <v>3</v>
      </c>
      <c r="G1349" s="2">
        <v>27.92</v>
      </c>
    </row>
    <row r="1350" spans="1:7" x14ac:dyDescent="0.25">
      <c r="A13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240903-EVE001</v>
      </c>
      <c r="B1350" s="1" t="str">
        <f>TEXT(Coffee_sales_clean[[#This Row],[Transaction Date]],"dddd")</f>
        <v>Tuesday</v>
      </c>
      <c r="C1350" s="12">
        <v>45538</v>
      </c>
      <c r="D1350" s="4">
        <v>0.78373549768518513</v>
      </c>
      <c r="E13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50" t="s">
        <v>3</v>
      </c>
      <c r="G1350" s="2">
        <v>27.92</v>
      </c>
    </row>
    <row r="1351" spans="1:7" x14ac:dyDescent="0.25">
      <c r="A13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240903-EVE002</v>
      </c>
      <c r="B1351" s="1" t="str">
        <f>TEXT(Coffee_sales_clean[[#This Row],[Transaction Date]],"dddd")</f>
        <v>Tuesday</v>
      </c>
      <c r="C1351" s="12">
        <v>45538</v>
      </c>
      <c r="D1351" s="4">
        <v>0.79944805555555554</v>
      </c>
      <c r="E13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51" t="s">
        <v>0</v>
      </c>
      <c r="G1351" s="2">
        <v>32.82</v>
      </c>
    </row>
    <row r="1352" spans="1:7" x14ac:dyDescent="0.25">
      <c r="A13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240903-EVE003</v>
      </c>
      <c r="B1352" s="1" t="str">
        <f>TEXT(Coffee_sales_clean[[#This Row],[Transaction Date]],"dddd")</f>
        <v>Tuesday</v>
      </c>
      <c r="C1352" s="12">
        <v>45538</v>
      </c>
      <c r="D1352" s="4">
        <v>0.80363203703703701</v>
      </c>
      <c r="E13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52" t="s">
        <v>3</v>
      </c>
      <c r="G1352" s="2">
        <v>27.92</v>
      </c>
    </row>
    <row r="1353" spans="1:7" x14ac:dyDescent="0.25">
      <c r="A13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240904-LUN001</v>
      </c>
      <c r="B1353" s="1" t="str">
        <f>TEXT(Coffee_sales_clean[[#This Row],[Transaction Date]],"dddd")</f>
        <v>Wednesday</v>
      </c>
      <c r="C1353" s="12">
        <v>45539</v>
      </c>
      <c r="D1353" s="4">
        <v>0.4662219212962963</v>
      </c>
      <c r="E13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53" t="s">
        <v>3</v>
      </c>
      <c r="G1353" s="2">
        <v>27.92</v>
      </c>
    </row>
    <row r="1354" spans="1:7" x14ac:dyDescent="0.25">
      <c r="A13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240904-LUN002</v>
      </c>
      <c r="B1354" s="1" t="str">
        <f>TEXT(Coffee_sales_clean[[#This Row],[Transaction Date]],"dddd")</f>
        <v>Wednesday</v>
      </c>
      <c r="C1354" s="12">
        <v>45539</v>
      </c>
      <c r="D1354" s="4">
        <v>0.48167358796296295</v>
      </c>
      <c r="E13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54" t="s">
        <v>0</v>
      </c>
      <c r="G1354" s="2">
        <v>32.82</v>
      </c>
    </row>
    <row r="1355" spans="1:7" x14ac:dyDescent="0.25">
      <c r="A13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240904-LUN003</v>
      </c>
      <c r="B1355" s="1" t="str">
        <f>TEXT(Coffee_sales_clean[[#This Row],[Transaction Date]],"dddd")</f>
        <v>Wednesday</v>
      </c>
      <c r="C1355" s="12">
        <v>45539</v>
      </c>
      <c r="D1355" s="4">
        <v>0.49170767361111112</v>
      </c>
      <c r="E13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55" t="s">
        <v>2</v>
      </c>
      <c r="G1355" s="2">
        <v>23.02</v>
      </c>
    </row>
    <row r="1356" spans="1:7" x14ac:dyDescent="0.25">
      <c r="A13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240904-LUN004</v>
      </c>
      <c r="B1356" s="1" t="str">
        <f>TEXT(Coffee_sales_clean[[#This Row],[Transaction Date]],"dddd")</f>
        <v>Wednesday</v>
      </c>
      <c r="C1356" s="12">
        <v>45539</v>
      </c>
      <c r="D1356" s="4">
        <v>0.49692693287037037</v>
      </c>
      <c r="E13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56" t="s">
        <v>3</v>
      </c>
      <c r="G1356" s="2">
        <v>27.92</v>
      </c>
    </row>
    <row r="1357" spans="1:7" x14ac:dyDescent="0.25">
      <c r="A13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240904-LUN005</v>
      </c>
      <c r="B1357" s="1" t="str">
        <f>TEXT(Coffee_sales_clean[[#This Row],[Transaction Date]],"dddd")</f>
        <v>Wednesday</v>
      </c>
      <c r="C1357" s="12">
        <v>45539</v>
      </c>
      <c r="D1357" s="4">
        <v>0.53716805555555558</v>
      </c>
      <c r="E13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57" t="s">
        <v>0</v>
      </c>
      <c r="G1357" s="2">
        <v>32.82</v>
      </c>
    </row>
    <row r="1358" spans="1:7" x14ac:dyDescent="0.25">
      <c r="A13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240904-LUN006</v>
      </c>
      <c r="B1358" s="1" t="str">
        <f>TEXT(Coffee_sales_clean[[#This Row],[Transaction Date]],"dddd")</f>
        <v>Wednesday</v>
      </c>
      <c r="C1358" s="12">
        <v>45539</v>
      </c>
      <c r="D1358" s="4">
        <v>0.54433576388888893</v>
      </c>
      <c r="E13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58" t="s">
        <v>0</v>
      </c>
      <c r="G1358" s="2">
        <v>32.82</v>
      </c>
    </row>
    <row r="1359" spans="1:7" x14ac:dyDescent="0.25">
      <c r="A13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240904-LUN007</v>
      </c>
      <c r="B1359" s="1" t="str">
        <f>TEXT(Coffee_sales_clean[[#This Row],[Transaction Date]],"dddd")</f>
        <v>Wednesday</v>
      </c>
      <c r="C1359" s="12">
        <v>45539</v>
      </c>
      <c r="D1359" s="4">
        <v>0.54532523148148149</v>
      </c>
      <c r="E13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59" t="s">
        <v>3</v>
      </c>
      <c r="G1359" s="2">
        <v>27.92</v>
      </c>
    </row>
    <row r="1360" spans="1:7" x14ac:dyDescent="0.25">
      <c r="A13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240904-EVE001</v>
      </c>
      <c r="B1360" s="1" t="str">
        <f>TEXT(Coffee_sales_clean[[#This Row],[Transaction Date]],"dddd")</f>
        <v>Wednesday</v>
      </c>
      <c r="C1360" s="12">
        <v>45539</v>
      </c>
      <c r="D1360" s="4">
        <v>0.75262644675925927</v>
      </c>
      <c r="E13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60" t="s">
        <v>7</v>
      </c>
      <c r="G1360" s="2">
        <v>32.82</v>
      </c>
    </row>
    <row r="1361" spans="1:7" x14ac:dyDescent="0.25">
      <c r="A13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240904-EVE002</v>
      </c>
      <c r="B1361" s="1" t="str">
        <f>TEXT(Coffee_sales_clean[[#This Row],[Transaction Date]],"dddd")</f>
        <v>Wednesday</v>
      </c>
      <c r="C1361" s="12">
        <v>45539</v>
      </c>
      <c r="D1361" s="4">
        <v>0.82062456018518515</v>
      </c>
      <c r="E13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61" t="s">
        <v>3</v>
      </c>
      <c r="G1361" s="2">
        <v>27.92</v>
      </c>
    </row>
    <row r="1362" spans="1:7" x14ac:dyDescent="0.25">
      <c r="A13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240904-LAT001</v>
      </c>
      <c r="B1362" s="1" t="str">
        <f>TEXT(Coffee_sales_clean[[#This Row],[Transaction Date]],"dddd")</f>
        <v>Wednesday</v>
      </c>
      <c r="C1362" s="12">
        <v>45539</v>
      </c>
      <c r="D1362" s="4">
        <v>0.88860704861111106</v>
      </c>
      <c r="E13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62" t="s">
        <v>0</v>
      </c>
      <c r="G1362" s="2">
        <v>32.82</v>
      </c>
    </row>
    <row r="1363" spans="1:7" x14ac:dyDescent="0.25">
      <c r="A13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240905-MOR001</v>
      </c>
      <c r="B1363" s="1" t="str">
        <f>TEXT(Coffee_sales_clean[[#This Row],[Transaction Date]],"dddd")</f>
        <v>Thursday</v>
      </c>
      <c r="C1363" s="12">
        <v>45540</v>
      </c>
      <c r="D1363" s="4">
        <v>0.39672476851851851</v>
      </c>
      <c r="E13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63" t="s">
        <v>3</v>
      </c>
      <c r="G1363" s="2">
        <v>27.92</v>
      </c>
    </row>
    <row r="1364" spans="1:7" x14ac:dyDescent="0.25">
      <c r="A13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240905-MOR002</v>
      </c>
      <c r="B1364" s="1" t="str">
        <f>TEXT(Coffee_sales_clean[[#This Row],[Transaction Date]],"dddd")</f>
        <v>Thursday</v>
      </c>
      <c r="C1364" s="12">
        <v>45540</v>
      </c>
      <c r="D1364" s="4">
        <v>0.43676188657407405</v>
      </c>
      <c r="E13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64" t="s">
        <v>3</v>
      </c>
      <c r="G1364" s="2">
        <v>27.92</v>
      </c>
    </row>
    <row r="1365" spans="1:7" x14ac:dyDescent="0.25">
      <c r="A13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240905-LUN001</v>
      </c>
      <c r="B1365" s="1" t="str">
        <f>TEXT(Coffee_sales_clean[[#This Row],[Transaction Date]],"dddd")</f>
        <v>Thursday</v>
      </c>
      <c r="C1365" s="12">
        <v>45540</v>
      </c>
      <c r="D1365" s="4">
        <v>0.46285415509259259</v>
      </c>
      <c r="E13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65" t="s">
        <v>2</v>
      </c>
      <c r="G1365" s="2">
        <v>23.02</v>
      </c>
    </row>
    <row r="1366" spans="1:7" x14ac:dyDescent="0.25">
      <c r="A13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240905-AFT001</v>
      </c>
      <c r="B1366" s="1" t="str">
        <f>TEXT(Coffee_sales_clean[[#This Row],[Transaction Date]],"dddd")</f>
        <v>Thursday</v>
      </c>
      <c r="C1366" s="12">
        <v>45540</v>
      </c>
      <c r="D1366" s="4">
        <v>0.58365430555555553</v>
      </c>
      <c r="E13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66" t="s">
        <v>0</v>
      </c>
      <c r="G1366" s="2">
        <v>32.82</v>
      </c>
    </row>
    <row r="1367" spans="1:7" x14ac:dyDescent="0.25">
      <c r="A13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240905-AFT002</v>
      </c>
      <c r="B1367" s="1" t="str">
        <f>TEXT(Coffee_sales_clean[[#This Row],[Transaction Date]],"dddd")</f>
        <v>Thursday</v>
      </c>
      <c r="C1367" s="12">
        <v>45540</v>
      </c>
      <c r="D1367" s="4">
        <v>0.64250395833333329</v>
      </c>
      <c r="E13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67" t="s">
        <v>0</v>
      </c>
      <c r="G1367" s="2">
        <v>32.82</v>
      </c>
    </row>
    <row r="1368" spans="1:7" x14ac:dyDescent="0.25">
      <c r="A13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240905-AFT003</v>
      </c>
      <c r="B1368" s="1" t="str">
        <f>TEXT(Coffee_sales_clean[[#This Row],[Transaction Date]],"dddd")</f>
        <v>Thursday</v>
      </c>
      <c r="C1368" s="12">
        <v>45540</v>
      </c>
      <c r="D1368" s="4">
        <v>0.69363871527777776</v>
      </c>
      <c r="E13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68" t="s">
        <v>2</v>
      </c>
      <c r="G1368" s="2">
        <v>23.02</v>
      </c>
    </row>
    <row r="1369" spans="1:7" x14ac:dyDescent="0.25">
      <c r="A13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240905-AFT004</v>
      </c>
      <c r="B1369" s="1" t="str">
        <f>TEXT(Coffee_sales_clean[[#This Row],[Transaction Date]],"dddd")</f>
        <v>Thursday</v>
      </c>
      <c r="C1369" s="12">
        <v>45540</v>
      </c>
      <c r="D1369" s="4">
        <v>0.69444020833333331</v>
      </c>
      <c r="E13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369" t="s">
        <v>3</v>
      </c>
      <c r="G1369" s="2">
        <v>27.92</v>
      </c>
    </row>
    <row r="1370" spans="1:7" x14ac:dyDescent="0.25">
      <c r="A13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240905-EVE001</v>
      </c>
      <c r="B1370" s="1" t="str">
        <f>TEXT(Coffee_sales_clean[[#This Row],[Transaction Date]],"dddd")</f>
        <v>Thursday</v>
      </c>
      <c r="C1370" s="12">
        <v>45540</v>
      </c>
      <c r="D1370" s="4">
        <v>0.71144565972222218</v>
      </c>
      <c r="E13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70" t="s">
        <v>7</v>
      </c>
      <c r="G1370" s="2">
        <v>32.82</v>
      </c>
    </row>
    <row r="1371" spans="1:7" x14ac:dyDescent="0.25">
      <c r="A13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240905-EVE002</v>
      </c>
      <c r="B1371" s="1" t="str">
        <f>TEXT(Coffee_sales_clean[[#This Row],[Transaction Date]],"dddd")</f>
        <v>Thursday</v>
      </c>
      <c r="C1371" s="12">
        <v>45540</v>
      </c>
      <c r="D1371" s="4">
        <v>0.71217226851851856</v>
      </c>
      <c r="E13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371" t="s">
        <v>7</v>
      </c>
      <c r="G1371" s="2">
        <v>32.82</v>
      </c>
    </row>
    <row r="1372" spans="1:7" x14ac:dyDescent="0.25">
      <c r="A13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240905-LAT001</v>
      </c>
      <c r="B1372" s="1" t="str">
        <f>TEXT(Coffee_sales_clean[[#This Row],[Transaction Date]],"dddd")</f>
        <v>Thursday</v>
      </c>
      <c r="C1372" s="12">
        <v>45540</v>
      </c>
      <c r="D1372" s="4">
        <v>0.85433986111111115</v>
      </c>
      <c r="E13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72" t="s">
        <v>7</v>
      </c>
      <c r="G1372" s="2">
        <v>32.82</v>
      </c>
    </row>
    <row r="1373" spans="1:7" x14ac:dyDescent="0.25">
      <c r="A13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240905-LAT002</v>
      </c>
      <c r="B1373" s="1" t="str">
        <f>TEXT(Coffee_sales_clean[[#This Row],[Transaction Date]],"dddd")</f>
        <v>Thursday</v>
      </c>
      <c r="C1373" s="12">
        <v>45540</v>
      </c>
      <c r="D1373" s="4">
        <v>0.87111607638888888</v>
      </c>
      <c r="E13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73" t="s">
        <v>2</v>
      </c>
      <c r="G1373" s="2">
        <v>23.02</v>
      </c>
    </row>
    <row r="1374" spans="1:7" x14ac:dyDescent="0.25">
      <c r="A13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240905-LAT003</v>
      </c>
      <c r="B1374" s="1" t="str">
        <f>TEXT(Coffee_sales_clean[[#This Row],[Transaction Date]],"dddd")</f>
        <v>Thursday</v>
      </c>
      <c r="C1374" s="12">
        <v>45540</v>
      </c>
      <c r="D1374" s="4">
        <v>0.87189153935185182</v>
      </c>
      <c r="E13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74" t="s">
        <v>7</v>
      </c>
      <c r="G1374" s="2">
        <v>32.82</v>
      </c>
    </row>
    <row r="1375" spans="1:7" x14ac:dyDescent="0.25">
      <c r="A13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240905-LAT004</v>
      </c>
      <c r="B1375" s="1" t="str">
        <f>TEXT(Coffee_sales_clean[[#This Row],[Transaction Date]],"dddd")</f>
        <v>Thursday</v>
      </c>
      <c r="C1375" s="12">
        <v>45540</v>
      </c>
      <c r="D1375" s="4">
        <v>0.89338930555555551</v>
      </c>
      <c r="E13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75" t="s">
        <v>3</v>
      </c>
      <c r="G1375" s="2">
        <v>27.92</v>
      </c>
    </row>
    <row r="1376" spans="1:7" x14ac:dyDescent="0.25">
      <c r="A13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240905-LAT005</v>
      </c>
      <c r="B1376" s="1" t="str">
        <f>TEXT(Coffee_sales_clean[[#This Row],[Transaction Date]],"dddd")</f>
        <v>Thursday</v>
      </c>
      <c r="C1376" s="12">
        <v>45540</v>
      </c>
      <c r="D1376" s="4">
        <v>0.89409686342592598</v>
      </c>
      <c r="E13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76" t="s">
        <v>3</v>
      </c>
      <c r="G1376" s="2">
        <v>27.92</v>
      </c>
    </row>
    <row r="1377" spans="1:7" x14ac:dyDescent="0.25">
      <c r="A13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240906-MOR001</v>
      </c>
      <c r="B1377" s="1" t="str">
        <f>TEXT(Coffee_sales_clean[[#This Row],[Transaction Date]],"dddd")</f>
        <v>Friday</v>
      </c>
      <c r="C1377" s="12">
        <v>45541</v>
      </c>
      <c r="D1377" s="4">
        <v>0.35108645833333335</v>
      </c>
      <c r="E13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77" t="s">
        <v>7</v>
      </c>
      <c r="G1377" s="2">
        <v>32.82</v>
      </c>
    </row>
    <row r="1378" spans="1:7" x14ac:dyDescent="0.25">
      <c r="A13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240906-MOR002</v>
      </c>
      <c r="B1378" s="1" t="str">
        <f>TEXT(Coffee_sales_clean[[#This Row],[Transaction Date]],"dddd")</f>
        <v>Friday</v>
      </c>
      <c r="C1378" s="12">
        <v>45541</v>
      </c>
      <c r="D1378" s="4">
        <v>0.3574864236111111</v>
      </c>
      <c r="E13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78" t="s">
        <v>0</v>
      </c>
      <c r="G1378" s="2">
        <v>32.82</v>
      </c>
    </row>
    <row r="1379" spans="1:7" x14ac:dyDescent="0.25">
      <c r="A13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240906-MOR003</v>
      </c>
      <c r="B1379" s="1" t="str">
        <f>TEXT(Coffee_sales_clean[[#This Row],[Transaction Date]],"dddd")</f>
        <v>Friday</v>
      </c>
      <c r="C1379" s="12">
        <v>45541</v>
      </c>
      <c r="D1379" s="4">
        <v>0.37131886574074074</v>
      </c>
      <c r="E13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79" t="s">
        <v>2</v>
      </c>
      <c r="G1379" s="2">
        <v>23.02</v>
      </c>
    </row>
    <row r="1380" spans="1:7" x14ac:dyDescent="0.25">
      <c r="A13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240906-MOR004</v>
      </c>
      <c r="B1380" s="1" t="str">
        <f>TEXT(Coffee_sales_clean[[#This Row],[Transaction Date]],"dddd")</f>
        <v>Friday</v>
      </c>
      <c r="C1380" s="12">
        <v>45541</v>
      </c>
      <c r="D1380" s="4">
        <v>0.41018459490740738</v>
      </c>
      <c r="E13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80" t="s">
        <v>6</v>
      </c>
      <c r="G1380" s="2">
        <v>18.12</v>
      </c>
    </row>
    <row r="1381" spans="1:7" x14ac:dyDescent="0.25">
      <c r="A13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240906-MOR005</v>
      </c>
      <c r="B1381" s="1" t="str">
        <f>TEXT(Coffee_sales_clean[[#This Row],[Transaction Date]],"dddd")</f>
        <v>Friday</v>
      </c>
      <c r="C1381" s="12">
        <v>45541</v>
      </c>
      <c r="D1381" s="4">
        <v>0.41102101851851852</v>
      </c>
      <c r="E13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81" t="s">
        <v>0</v>
      </c>
      <c r="G1381" s="2">
        <v>32.82</v>
      </c>
    </row>
    <row r="1382" spans="1:7" x14ac:dyDescent="0.25">
      <c r="A13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240906-MOR006</v>
      </c>
      <c r="B1382" s="1" t="str">
        <f>TEXT(Coffee_sales_clean[[#This Row],[Transaction Date]],"dddd")</f>
        <v>Friday</v>
      </c>
      <c r="C1382" s="12">
        <v>45541</v>
      </c>
      <c r="D1382" s="4">
        <v>0.43757001157407405</v>
      </c>
      <c r="E13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82" t="s">
        <v>1</v>
      </c>
      <c r="G1382" s="2">
        <v>32.82</v>
      </c>
    </row>
    <row r="1383" spans="1:7" x14ac:dyDescent="0.25">
      <c r="A13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240906-LUN001</v>
      </c>
      <c r="B1383" s="1" t="str">
        <f>TEXT(Coffee_sales_clean[[#This Row],[Transaction Date]],"dddd")</f>
        <v>Friday</v>
      </c>
      <c r="C1383" s="12">
        <v>45541</v>
      </c>
      <c r="D1383" s="4">
        <v>0.47459942129629629</v>
      </c>
      <c r="E13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83" t="s">
        <v>6</v>
      </c>
      <c r="G1383" s="2">
        <v>18.12</v>
      </c>
    </row>
    <row r="1384" spans="1:7" x14ac:dyDescent="0.25">
      <c r="A13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240906-LUN002</v>
      </c>
      <c r="B1384" s="1" t="str">
        <f>TEXT(Coffee_sales_clean[[#This Row],[Transaction Date]],"dddd")</f>
        <v>Friday</v>
      </c>
      <c r="C1384" s="12">
        <v>45541</v>
      </c>
      <c r="D1384" s="4">
        <v>0.47533858796296297</v>
      </c>
      <c r="E13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84" t="s">
        <v>6</v>
      </c>
      <c r="G1384" s="2">
        <v>18.12</v>
      </c>
    </row>
    <row r="1385" spans="1:7" x14ac:dyDescent="0.25">
      <c r="A13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240906-LAT001</v>
      </c>
      <c r="B1385" s="1" t="str">
        <f>TEXT(Coffee_sales_clean[[#This Row],[Transaction Date]],"dddd")</f>
        <v>Friday</v>
      </c>
      <c r="C1385" s="12">
        <v>45541</v>
      </c>
      <c r="D1385" s="4">
        <v>0.83347251157407409</v>
      </c>
      <c r="E13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85" t="s">
        <v>0</v>
      </c>
      <c r="G1385" s="2">
        <v>32.82</v>
      </c>
    </row>
    <row r="1386" spans="1:7" x14ac:dyDescent="0.25">
      <c r="A13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240906-LAT002</v>
      </c>
      <c r="B1386" s="1" t="str">
        <f>TEXT(Coffee_sales_clean[[#This Row],[Transaction Date]],"dddd")</f>
        <v>Friday</v>
      </c>
      <c r="C1386" s="12">
        <v>45541</v>
      </c>
      <c r="D1386" s="4">
        <v>0.88161165509259254</v>
      </c>
      <c r="E13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386" t="s">
        <v>0</v>
      </c>
      <c r="G1386" s="2">
        <v>32.82</v>
      </c>
    </row>
    <row r="1387" spans="1:7" x14ac:dyDescent="0.25">
      <c r="A13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240907-MOR001</v>
      </c>
      <c r="B1387" s="1" t="str">
        <f>TEXT(Coffee_sales_clean[[#This Row],[Transaction Date]],"dddd")</f>
        <v>Saturday</v>
      </c>
      <c r="C1387" s="12">
        <v>45542</v>
      </c>
      <c r="D1387" s="4">
        <v>0.36732655092592592</v>
      </c>
      <c r="E13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87" t="s">
        <v>0</v>
      </c>
      <c r="G1387" s="2">
        <v>32.82</v>
      </c>
    </row>
    <row r="1388" spans="1:7" x14ac:dyDescent="0.25">
      <c r="A13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240907-MOR002</v>
      </c>
      <c r="B1388" s="1" t="str">
        <f>TEXT(Coffee_sales_clean[[#This Row],[Transaction Date]],"dddd")</f>
        <v>Saturday</v>
      </c>
      <c r="C1388" s="12">
        <v>45542</v>
      </c>
      <c r="D1388" s="4">
        <v>0.41114582175925923</v>
      </c>
      <c r="E13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88" t="s">
        <v>5</v>
      </c>
      <c r="G1388" s="2">
        <v>23.02</v>
      </c>
    </row>
    <row r="1389" spans="1:7" x14ac:dyDescent="0.25">
      <c r="A13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240907-MOR003</v>
      </c>
      <c r="B1389" s="1" t="str">
        <f>TEXT(Coffee_sales_clean[[#This Row],[Transaction Date]],"dddd")</f>
        <v>Saturday</v>
      </c>
      <c r="C1389" s="12">
        <v>45542</v>
      </c>
      <c r="D1389" s="4">
        <v>0.41184693287037039</v>
      </c>
      <c r="E13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89" t="s">
        <v>5</v>
      </c>
      <c r="G1389" s="2">
        <v>23.02</v>
      </c>
    </row>
    <row r="1390" spans="1:7" x14ac:dyDescent="0.25">
      <c r="A13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240907-MOR004</v>
      </c>
      <c r="B1390" s="1" t="str">
        <f>TEXT(Coffee_sales_clean[[#This Row],[Transaction Date]],"dddd")</f>
        <v>Saturday</v>
      </c>
      <c r="C1390" s="12">
        <v>45542</v>
      </c>
      <c r="D1390" s="4">
        <v>0.41298163194444443</v>
      </c>
      <c r="E13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90" t="s">
        <v>5</v>
      </c>
      <c r="G1390" s="2">
        <v>23.02</v>
      </c>
    </row>
    <row r="1391" spans="1:7" x14ac:dyDescent="0.25">
      <c r="A13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240907-MOR005</v>
      </c>
      <c r="B1391" s="1" t="str">
        <f>TEXT(Coffee_sales_clean[[#This Row],[Transaction Date]],"dddd")</f>
        <v>Saturday</v>
      </c>
      <c r="C1391" s="12">
        <v>45542</v>
      </c>
      <c r="D1391" s="4">
        <v>0.41513486111111109</v>
      </c>
      <c r="E13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91" t="s">
        <v>3</v>
      </c>
      <c r="G1391" s="2">
        <v>27.92</v>
      </c>
    </row>
    <row r="1392" spans="1:7" x14ac:dyDescent="0.25">
      <c r="A13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240907-MOR006</v>
      </c>
      <c r="B1392" s="1" t="str">
        <f>TEXT(Coffee_sales_clean[[#This Row],[Transaction Date]],"dddd")</f>
        <v>Saturday</v>
      </c>
      <c r="C1392" s="12">
        <v>45542</v>
      </c>
      <c r="D1392" s="4">
        <v>0.41599895833333334</v>
      </c>
      <c r="E13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92" t="s">
        <v>3</v>
      </c>
      <c r="G1392" s="2">
        <v>27.92</v>
      </c>
    </row>
    <row r="1393" spans="1:7" x14ac:dyDescent="0.25">
      <c r="A13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240907-MOR007</v>
      </c>
      <c r="B1393" s="1" t="str">
        <f>TEXT(Coffee_sales_clean[[#This Row],[Transaction Date]],"dddd")</f>
        <v>Saturday</v>
      </c>
      <c r="C1393" s="12">
        <v>45542</v>
      </c>
      <c r="D1393" s="4">
        <v>0.41689447916666666</v>
      </c>
      <c r="E13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93" t="s">
        <v>5</v>
      </c>
      <c r="G1393" s="2">
        <v>23.02</v>
      </c>
    </row>
    <row r="1394" spans="1:7" x14ac:dyDescent="0.25">
      <c r="A13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240907-MOR008</v>
      </c>
      <c r="B1394" s="1" t="str">
        <f>TEXT(Coffee_sales_clean[[#This Row],[Transaction Date]],"dddd")</f>
        <v>Saturday</v>
      </c>
      <c r="C1394" s="12">
        <v>45542</v>
      </c>
      <c r="D1394" s="4">
        <v>0.43245969907407406</v>
      </c>
      <c r="E13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94" t="s">
        <v>2</v>
      </c>
      <c r="G1394" s="2">
        <v>23.02</v>
      </c>
    </row>
    <row r="1395" spans="1:7" x14ac:dyDescent="0.25">
      <c r="A13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240907-MOR009</v>
      </c>
      <c r="B1395" s="1" t="str">
        <f>TEXT(Coffee_sales_clean[[#This Row],[Transaction Date]],"dddd")</f>
        <v>Saturday</v>
      </c>
      <c r="C1395" s="12">
        <v>45542</v>
      </c>
      <c r="D1395" s="4">
        <v>0.44296684027777777</v>
      </c>
      <c r="E13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95" t="s">
        <v>6</v>
      </c>
      <c r="G1395" s="2">
        <v>18.12</v>
      </c>
    </row>
    <row r="1396" spans="1:7" x14ac:dyDescent="0.25">
      <c r="A13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240907-MOR010</v>
      </c>
      <c r="B1396" s="1" t="str">
        <f>TEXT(Coffee_sales_clean[[#This Row],[Transaction Date]],"dddd")</f>
        <v>Saturday</v>
      </c>
      <c r="C1396" s="12">
        <v>45542</v>
      </c>
      <c r="D1396" s="4">
        <v>0.44459035879629627</v>
      </c>
      <c r="E13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96" t="s">
        <v>6</v>
      </c>
      <c r="G1396" s="2">
        <v>18.12</v>
      </c>
    </row>
    <row r="1397" spans="1:7" x14ac:dyDescent="0.25">
      <c r="A13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240907-MOR011</v>
      </c>
      <c r="B1397" s="1" t="str">
        <f>TEXT(Coffee_sales_clean[[#This Row],[Transaction Date]],"dddd")</f>
        <v>Saturday</v>
      </c>
      <c r="C1397" s="12">
        <v>45542</v>
      </c>
      <c r="D1397" s="4">
        <v>0.45384515046296298</v>
      </c>
      <c r="E13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397" t="s">
        <v>0</v>
      </c>
      <c r="G1397" s="2">
        <v>32.82</v>
      </c>
    </row>
    <row r="1398" spans="1:7" x14ac:dyDescent="0.25">
      <c r="A13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240907-LUN001</v>
      </c>
      <c r="B1398" s="1" t="str">
        <f>TEXT(Coffee_sales_clean[[#This Row],[Transaction Date]],"dddd")</f>
        <v>Saturday</v>
      </c>
      <c r="C1398" s="12">
        <v>45542</v>
      </c>
      <c r="D1398" s="4">
        <v>0.4714903587962963</v>
      </c>
      <c r="E13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98" t="s">
        <v>3</v>
      </c>
      <c r="G1398" s="2">
        <v>27.92</v>
      </c>
    </row>
    <row r="1399" spans="1:7" x14ac:dyDescent="0.25">
      <c r="A13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240907-LUN002</v>
      </c>
      <c r="B1399" s="1" t="str">
        <f>TEXT(Coffee_sales_clean[[#This Row],[Transaction Date]],"dddd")</f>
        <v>Saturday</v>
      </c>
      <c r="C1399" s="12">
        <v>45542</v>
      </c>
      <c r="D1399" s="4">
        <v>0.47222247685185187</v>
      </c>
      <c r="E13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399" t="s">
        <v>2</v>
      </c>
      <c r="G1399" s="2">
        <v>23.02</v>
      </c>
    </row>
    <row r="1400" spans="1:7" x14ac:dyDescent="0.25">
      <c r="A14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240907-LUN003</v>
      </c>
      <c r="B1400" s="1" t="str">
        <f>TEXT(Coffee_sales_clean[[#This Row],[Transaction Date]],"dddd")</f>
        <v>Saturday</v>
      </c>
      <c r="C1400" s="12">
        <v>45542</v>
      </c>
      <c r="D1400" s="4">
        <v>0.47288311342592593</v>
      </c>
      <c r="E14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00" t="s">
        <v>6</v>
      </c>
      <c r="G1400" s="2">
        <v>18.12</v>
      </c>
    </row>
    <row r="1401" spans="1:7" x14ac:dyDescent="0.25">
      <c r="A14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240907-AFT001</v>
      </c>
      <c r="B1401" s="1" t="str">
        <f>TEXT(Coffee_sales_clean[[#This Row],[Transaction Date]],"dddd")</f>
        <v>Saturday</v>
      </c>
      <c r="C1401" s="12">
        <v>45542</v>
      </c>
      <c r="D1401" s="4">
        <v>0.66329320601851849</v>
      </c>
      <c r="E14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01" t="s">
        <v>0</v>
      </c>
      <c r="G1401" s="2">
        <v>32.82</v>
      </c>
    </row>
    <row r="1402" spans="1:7" x14ac:dyDescent="0.25">
      <c r="A14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240907-AFT002</v>
      </c>
      <c r="B1402" s="1" t="str">
        <f>TEXT(Coffee_sales_clean[[#This Row],[Transaction Date]],"dddd")</f>
        <v>Saturday</v>
      </c>
      <c r="C1402" s="12">
        <v>45542</v>
      </c>
      <c r="D1402" s="4">
        <v>0.68056741898148143</v>
      </c>
      <c r="E14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02" t="s">
        <v>2</v>
      </c>
      <c r="G1402" s="2">
        <v>23.02</v>
      </c>
    </row>
    <row r="1403" spans="1:7" x14ac:dyDescent="0.25">
      <c r="A14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240907-AFT003</v>
      </c>
      <c r="B1403" s="1" t="str">
        <f>TEXT(Coffee_sales_clean[[#This Row],[Transaction Date]],"dddd")</f>
        <v>Saturday</v>
      </c>
      <c r="C1403" s="12">
        <v>45542</v>
      </c>
      <c r="D1403" s="4">
        <v>0.68124203703703701</v>
      </c>
      <c r="E14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03" t="s">
        <v>6</v>
      </c>
      <c r="G1403" s="2">
        <v>18.12</v>
      </c>
    </row>
    <row r="1404" spans="1:7" x14ac:dyDescent="0.25">
      <c r="A14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240907-EVE001</v>
      </c>
      <c r="B1404" s="1" t="str">
        <f>TEXT(Coffee_sales_clean[[#This Row],[Transaction Date]],"dddd")</f>
        <v>Saturday</v>
      </c>
      <c r="C1404" s="12">
        <v>45542</v>
      </c>
      <c r="D1404" s="4">
        <v>0.81602936342592591</v>
      </c>
      <c r="E14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04" t="s">
        <v>4</v>
      </c>
      <c r="G1404" s="2">
        <v>32.82</v>
      </c>
    </row>
    <row r="1405" spans="1:7" x14ac:dyDescent="0.25">
      <c r="A14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240907-EVE002</v>
      </c>
      <c r="B1405" s="1" t="str">
        <f>TEXT(Coffee_sales_clean[[#This Row],[Transaction Date]],"dddd")</f>
        <v>Saturday</v>
      </c>
      <c r="C1405" s="12">
        <v>45542</v>
      </c>
      <c r="D1405" s="4">
        <v>0.81672518518518522</v>
      </c>
      <c r="E14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05" t="s">
        <v>0</v>
      </c>
      <c r="G1405" s="2">
        <v>32.82</v>
      </c>
    </row>
    <row r="1406" spans="1:7" x14ac:dyDescent="0.25">
      <c r="A14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240907-EVE003</v>
      </c>
      <c r="B1406" s="1" t="str">
        <f>TEXT(Coffee_sales_clean[[#This Row],[Transaction Date]],"dddd")</f>
        <v>Saturday</v>
      </c>
      <c r="C1406" s="12">
        <v>45542</v>
      </c>
      <c r="D1406" s="4">
        <v>0.81754068287037041</v>
      </c>
      <c r="E14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06" t="s">
        <v>0</v>
      </c>
      <c r="G1406" s="2">
        <v>32.82</v>
      </c>
    </row>
    <row r="1407" spans="1:7" x14ac:dyDescent="0.25">
      <c r="A14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240907-LAT001</v>
      </c>
      <c r="B1407" s="1" t="str">
        <f>TEXT(Coffee_sales_clean[[#This Row],[Transaction Date]],"dddd")</f>
        <v>Saturday</v>
      </c>
      <c r="C1407" s="12">
        <v>45542</v>
      </c>
      <c r="D1407" s="4">
        <v>0.8429591666666667</v>
      </c>
      <c r="E14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07" t="s">
        <v>0</v>
      </c>
      <c r="G1407" s="2">
        <v>32.82</v>
      </c>
    </row>
    <row r="1408" spans="1:7" x14ac:dyDescent="0.25">
      <c r="A14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240907-LAT002</v>
      </c>
      <c r="B1408" s="1" t="str">
        <f>TEXT(Coffee_sales_clean[[#This Row],[Transaction Date]],"dddd")</f>
        <v>Saturday</v>
      </c>
      <c r="C1408" s="12">
        <v>45542</v>
      </c>
      <c r="D1408" s="4">
        <v>0.84374087962962963</v>
      </c>
      <c r="E14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08" t="s">
        <v>0</v>
      </c>
      <c r="G1408" s="2">
        <v>32.82</v>
      </c>
    </row>
    <row r="1409" spans="1:7" x14ac:dyDescent="0.25">
      <c r="A14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240908-MOR001</v>
      </c>
      <c r="B1409" s="1" t="str">
        <f>TEXT(Coffee_sales_clean[[#This Row],[Transaction Date]],"dddd")</f>
        <v>Sunday</v>
      </c>
      <c r="C1409" s="12">
        <v>45543</v>
      </c>
      <c r="D1409" s="4">
        <v>0.34422228009259259</v>
      </c>
      <c r="E14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09" t="s">
        <v>5</v>
      </c>
      <c r="G1409" s="2">
        <v>23.02</v>
      </c>
    </row>
    <row r="1410" spans="1:7" x14ac:dyDescent="0.25">
      <c r="A14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240908-MOR002</v>
      </c>
      <c r="B1410" s="1" t="str">
        <f>TEXT(Coffee_sales_clean[[#This Row],[Transaction Date]],"dddd")</f>
        <v>Sunday</v>
      </c>
      <c r="C1410" s="12">
        <v>45543</v>
      </c>
      <c r="D1410" s="4">
        <v>0.38769707175925927</v>
      </c>
      <c r="E14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10" t="s">
        <v>5</v>
      </c>
      <c r="G1410" s="2">
        <v>23.02</v>
      </c>
    </row>
    <row r="1411" spans="1:7" x14ac:dyDescent="0.25">
      <c r="A14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240908-MOR003</v>
      </c>
      <c r="B1411" s="1" t="str">
        <f>TEXT(Coffee_sales_clean[[#This Row],[Transaction Date]],"dddd")</f>
        <v>Sunday</v>
      </c>
      <c r="C1411" s="12">
        <v>45543</v>
      </c>
      <c r="D1411" s="4">
        <v>0.38833814814814815</v>
      </c>
      <c r="E14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11" t="s">
        <v>5</v>
      </c>
      <c r="G1411" s="2">
        <v>23.02</v>
      </c>
    </row>
    <row r="1412" spans="1:7" x14ac:dyDescent="0.25">
      <c r="A14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240908-MOR004</v>
      </c>
      <c r="B1412" s="1" t="str">
        <f>TEXT(Coffee_sales_clean[[#This Row],[Transaction Date]],"dddd")</f>
        <v>Sunday</v>
      </c>
      <c r="C1412" s="12">
        <v>45543</v>
      </c>
      <c r="D1412" s="4">
        <v>0.42078871527777778</v>
      </c>
      <c r="E14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12" t="s">
        <v>5</v>
      </c>
      <c r="G1412" s="2">
        <v>23.02</v>
      </c>
    </row>
    <row r="1413" spans="1:7" x14ac:dyDescent="0.25">
      <c r="A14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240908-LUN001</v>
      </c>
      <c r="B1413" s="1" t="str">
        <f>TEXT(Coffee_sales_clean[[#This Row],[Transaction Date]],"dddd")</f>
        <v>Sunday</v>
      </c>
      <c r="C1413" s="12">
        <v>45543</v>
      </c>
      <c r="D1413" s="4">
        <v>0.53018549768518519</v>
      </c>
      <c r="E14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13" t="s">
        <v>5</v>
      </c>
      <c r="G1413" s="2">
        <v>23.02</v>
      </c>
    </row>
    <row r="1414" spans="1:7" x14ac:dyDescent="0.25">
      <c r="A14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240908-LAT001</v>
      </c>
      <c r="B1414" s="1" t="str">
        <f>TEXT(Coffee_sales_clean[[#This Row],[Transaction Date]],"dddd")</f>
        <v>Sunday</v>
      </c>
      <c r="C1414" s="12">
        <v>45543</v>
      </c>
      <c r="D1414" s="4">
        <v>0.84274148148148154</v>
      </c>
      <c r="E14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14" t="s">
        <v>2</v>
      </c>
      <c r="G1414" s="2">
        <v>23.02</v>
      </c>
    </row>
    <row r="1415" spans="1:7" x14ac:dyDescent="0.25">
      <c r="A14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240909-MOR001</v>
      </c>
      <c r="B1415" s="1" t="str">
        <f>TEXT(Coffee_sales_clean[[#This Row],[Transaction Date]],"dddd")</f>
        <v>Monday</v>
      </c>
      <c r="C1415" s="12">
        <v>45544</v>
      </c>
      <c r="D1415" s="4">
        <v>0.32724032407407405</v>
      </c>
      <c r="E14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15" t="s">
        <v>0</v>
      </c>
      <c r="G1415" s="2">
        <v>32.82</v>
      </c>
    </row>
    <row r="1416" spans="1:7" x14ac:dyDescent="0.25">
      <c r="A14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240909-MOR002</v>
      </c>
      <c r="B1416" s="1" t="str">
        <f>TEXT(Coffee_sales_clean[[#This Row],[Transaction Date]],"dddd")</f>
        <v>Monday</v>
      </c>
      <c r="C1416" s="12">
        <v>45544</v>
      </c>
      <c r="D1416" s="4">
        <v>0.32906893518518521</v>
      </c>
      <c r="E14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16" t="s">
        <v>7</v>
      </c>
      <c r="G1416" s="2">
        <v>32.82</v>
      </c>
    </row>
    <row r="1417" spans="1:7" x14ac:dyDescent="0.25">
      <c r="A14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240909-MOR003</v>
      </c>
      <c r="B1417" s="1" t="str">
        <f>TEXT(Coffee_sales_clean[[#This Row],[Transaction Date]],"dddd")</f>
        <v>Monday</v>
      </c>
      <c r="C1417" s="12">
        <v>45544</v>
      </c>
      <c r="D1417" s="4">
        <v>0.33011092592592595</v>
      </c>
      <c r="E14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17" t="s">
        <v>3</v>
      </c>
      <c r="G1417" s="2">
        <v>27.92</v>
      </c>
    </row>
    <row r="1418" spans="1:7" x14ac:dyDescent="0.25">
      <c r="A14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240909-MOR004</v>
      </c>
      <c r="B1418" s="1" t="str">
        <f>TEXT(Coffee_sales_clean[[#This Row],[Transaction Date]],"dddd")</f>
        <v>Monday</v>
      </c>
      <c r="C1418" s="12">
        <v>45544</v>
      </c>
      <c r="D1418" s="4">
        <v>0.33099153935185183</v>
      </c>
      <c r="E14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18" t="s">
        <v>0</v>
      </c>
      <c r="G1418" s="2">
        <v>32.82</v>
      </c>
    </row>
    <row r="1419" spans="1:7" x14ac:dyDescent="0.25">
      <c r="A14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240909-MOR005</v>
      </c>
      <c r="B1419" s="1" t="str">
        <f>TEXT(Coffee_sales_clean[[#This Row],[Transaction Date]],"dddd")</f>
        <v>Monday</v>
      </c>
      <c r="C1419" s="12">
        <v>45544</v>
      </c>
      <c r="D1419" s="4">
        <v>0.40961462962962963</v>
      </c>
      <c r="E14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19" t="s">
        <v>0</v>
      </c>
      <c r="G1419" s="2">
        <v>32.82</v>
      </c>
    </row>
    <row r="1420" spans="1:7" x14ac:dyDescent="0.25">
      <c r="A14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240909-MOR006</v>
      </c>
      <c r="B1420" s="1" t="str">
        <f>TEXT(Coffee_sales_clean[[#This Row],[Transaction Date]],"dddd")</f>
        <v>Monday</v>
      </c>
      <c r="C1420" s="12">
        <v>45544</v>
      </c>
      <c r="D1420" s="4">
        <v>0.41032104166666666</v>
      </c>
      <c r="E14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20" t="s">
        <v>1</v>
      </c>
      <c r="G1420" s="2">
        <v>32.82</v>
      </c>
    </row>
    <row r="1421" spans="1:7" x14ac:dyDescent="0.25">
      <c r="A14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240909-MOR007</v>
      </c>
      <c r="B1421" s="1" t="str">
        <f>TEXT(Coffee_sales_clean[[#This Row],[Transaction Date]],"dddd")</f>
        <v>Monday</v>
      </c>
      <c r="C1421" s="12">
        <v>45544</v>
      </c>
      <c r="D1421" s="4">
        <v>0.41609664351851849</v>
      </c>
      <c r="E14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21" t="s">
        <v>0</v>
      </c>
      <c r="G1421" s="2">
        <v>32.82</v>
      </c>
    </row>
    <row r="1422" spans="1:7" x14ac:dyDescent="0.25">
      <c r="A14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240909-LUN001</v>
      </c>
      <c r="B1422" s="1" t="str">
        <f>TEXT(Coffee_sales_clean[[#This Row],[Transaction Date]],"dddd")</f>
        <v>Monday</v>
      </c>
      <c r="C1422" s="12">
        <v>45544</v>
      </c>
      <c r="D1422" s="4">
        <v>0.46639030092592593</v>
      </c>
      <c r="E14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22" t="s">
        <v>3</v>
      </c>
      <c r="G1422" s="2">
        <v>27.92</v>
      </c>
    </row>
    <row r="1423" spans="1:7" x14ac:dyDescent="0.25">
      <c r="A14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240909-LUN002</v>
      </c>
      <c r="B1423" s="1" t="str">
        <f>TEXT(Coffee_sales_clean[[#This Row],[Transaction Date]],"dddd")</f>
        <v>Monday</v>
      </c>
      <c r="C1423" s="12">
        <v>45544</v>
      </c>
      <c r="D1423" s="4">
        <v>0.46725277777777779</v>
      </c>
      <c r="E14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23" t="s">
        <v>3</v>
      </c>
      <c r="G1423" s="2">
        <v>27.92</v>
      </c>
    </row>
    <row r="1424" spans="1:7" x14ac:dyDescent="0.25">
      <c r="A14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240909-LUN003</v>
      </c>
      <c r="B1424" s="1" t="str">
        <f>TEXT(Coffee_sales_clean[[#This Row],[Transaction Date]],"dddd")</f>
        <v>Monday</v>
      </c>
      <c r="C1424" s="12">
        <v>45544</v>
      </c>
      <c r="D1424" s="4">
        <v>0.47904216435185187</v>
      </c>
      <c r="E14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24" t="s">
        <v>0</v>
      </c>
      <c r="G1424" s="2">
        <v>32.82</v>
      </c>
    </row>
    <row r="1425" spans="1:7" x14ac:dyDescent="0.25">
      <c r="A14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240909-LUN004</v>
      </c>
      <c r="B1425" s="1" t="str">
        <f>TEXT(Coffee_sales_clean[[#This Row],[Transaction Date]],"dddd")</f>
        <v>Monday</v>
      </c>
      <c r="C1425" s="12">
        <v>45544</v>
      </c>
      <c r="D1425" s="4">
        <v>0.50485714120370373</v>
      </c>
      <c r="E14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25" t="s">
        <v>6</v>
      </c>
      <c r="G1425" s="2">
        <v>18.12</v>
      </c>
    </row>
    <row r="1426" spans="1:7" x14ac:dyDescent="0.25">
      <c r="A14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240909-AFT001</v>
      </c>
      <c r="B1426" s="1" t="str">
        <f>TEXT(Coffee_sales_clean[[#This Row],[Transaction Date]],"dddd")</f>
        <v>Monday</v>
      </c>
      <c r="C1426" s="12">
        <v>45544</v>
      </c>
      <c r="D1426" s="4">
        <v>0.63349266203703702</v>
      </c>
      <c r="E14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26" t="s">
        <v>0</v>
      </c>
      <c r="G1426" s="2">
        <v>32.82</v>
      </c>
    </row>
    <row r="1427" spans="1:7" x14ac:dyDescent="0.25">
      <c r="A14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240909-AFT002</v>
      </c>
      <c r="B1427" s="1" t="str">
        <f>TEXT(Coffee_sales_clean[[#This Row],[Transaction Date]],"dddd")</f>
        <v>Monday</v>
      </c>
      <c r="C1427" s="12">
        <v>45544</v>
      </c>
      <c r="D1427" s="4">
        <v>0.63431153935185181</v>
      </c>
      <c r="E14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27" t="s">
        <v>2</v>
      </c>
      <c r="G1427" s="2">
        <v>23.02</v>
      </c>
    </row>
    <row r="1428" spans="1:7" x14ac:dyDescent="0.25">
      <c r="A14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240909-EVE001</v>
      </c>
      <c r="B1428" s="1" t="str">
        <f>TEXT(Coffee_sales_clean[[#This Row],[Transaction Date]],"dddd")</f>
        <v>Monday</v>
      </c>
      <c r="C1428" s="12">
        <v>45544</v>
      </c>
      <c r="D1428" s="4">
        <v>0.72512023148148153</v>
      </c>
      <c r="E14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28" t="s">
        <v>0</v>
      </c>
      <c r="G1428" s="2">
        <v>32.82</v>
      </c>
    </row>
    <row r="1429" spans="1:7" x14ac:dyDescent="0.25">
      <c r="A14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240909-EVE002</v>
      </c>
      <c r="B1429" s="1" t="str">
        <f>TEXT(Coffee_sales_clean[[#This Row],[Transaction Date]],"dddd")</f>
        <v>Monday</v>
      </c>
      <c r="C1429" s="12">
        <v>45544</v>
      </c>
      <c r="D1429" s="4">
        <v>0.75956388888888893</v>
      </c>
      <c r="E14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29" t="s">
        <v>0</v>
      </c>
      <c r="G1429" s="2">
        <v>32.82</v>
      </c>
    </row>
    <row r="1430" spans="1:7" x14ac:dyDescent="0.25">
      <c r="A14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240909-LAT001</v>
      </c>
      <c r="B1430" s="1" t="str">
        <f>TEXT(Coffee_sales_clean[[#This Row],[Transaction Date]],"dddd")</f>
        <v>Monday</v>
      </c>
      <c r="C1430" s="12">
        <v>45544</v>
      </c>
      <c r="D1430" s="4">
        <v>0.83861340277777774</v>
      </c>
      <c r="E14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30" t="s">
        <v>7</v>
      </c>
      <c r="G1430" s="2">
        <v>32.82</v>
      </c>
    </row>
    <row r="1431" spans="1:7" x14ac:dyDescent="0.25">
      <c r="A14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240909-LAT002</v>
      </c>
      <c r="B1431" s="1" t="str">
        <f>TEXT(Coffee_sales_clean[[#This Row],[Transaction Date]],"dddd")</f>
        <v>Monday</v>
      </c>
      <c r="C1431" s="12">
        <v>45544</v>
      </c>
      <c r="D1431" s="4">
        <v>0.84286486111111114</v>
      </c>
      <c r="E14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31" t="s">
        <v>0</v>
      </c>
      <c r="G1431" s="2">
        <v>32.82</v>
      </c>
    </row>
    <row r="1432" spans="1:7" x14ac:dyDescent="0.25">
      <c r="A14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240910-MOR001</v>
      </c>
      <c r="B1432" s="1" t="str">
        <f>TEXT(Coffee_sales_clean[[#This Row],[Transaction Date]],"dddd")</f>
        <v>Tuesday</v>
      </c>
      <c r="C1432" s="12">
        <v>45545</v>
      </c>
      <c r="D1432" s="4">
        <v>0.34169502314814815</v>
      </c>
      <c r="E14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32" t="s">
        <v>1</v>
      </c>
      <c r="G1432" s="2">
        <v>32.82</v>
      </c>
    </row>
    <row r="1433" spans="1:7" x14ac:dyDescent="0.25">
      <c r="A14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240910-MOR002</v>
      </c>
      <c r="B1433" s="1" t="str">
        <f>TEXT(Coffee_sales_clean[[#This Row],[Transaction Date]],"dddd")</f>
        <v>Tuesday</v>
      </c>
      <c r="C1433" s="12">
        <v>45545</v>
      </c>
      <c r="D1433" s="4">
        <v>0.39776372685185185</v>
      </c>
      <c r="E14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33" t="s">
        <v>7</v>
      </c>
      <c r="G1433" s="2">
        <v>32.82</v>
      </c>
    </row>
    <row r="1434" spans="1:7" x14ac:dyDescent="0.25">
      <c r="A14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240910-AFT001</v>
      </c>
      <c r="B1434" s="1" t="str">
        <f>TEXT(Coffee_sales_clean[[#This Row],[Transaction Date]],"dddd")</f>
        <v>Tuesday</v>
      </c>
      <c r="C1434" s="12">
        <v>45545</v>
      </c>
      <c r="D1434" s="4">
        <v>0.64021281249999995</v>
      </c>
      <c r="E14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34" t="s">
        <v>5</v>
      </c>
      <c r="G1434" s="2">
        <v>23.02</v>
      </c>
    </row>
    <row r="1435" spans="1:7" x14ac:dyDescent="0.25">
      <c r="A14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240910-AFT002</v>
      </c>
      <c r="B1435" s="1" t="str">
        <f>TEXT(Coffee_sales_clean[[#This Row],[Transaction Date]],"dddd")</f>
        <v>Tuesday</v>
      </c>
      <c r="C1435" s="12">
        <v>45545</v>
      </c>
      <c r="D1435" s="4">
        <v>0.64104104166666664</v>
      </c>
      <c r="E14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35" t="s">
        <v>5</v>
      </c>
      <c r="G1435" s="2">
        <v>23.02</v>
      </c>
    </row>
    <row r="1436" spans="1:7" x14ac:dyDescent="0.25">
      <c r="A14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240910-EVE001</v>
      </c>
      <c r="B1436" s="1" t="str">
        <f>TEXT(Coffee_sales_clean[[#This Row],[Transaction Date]],"dddd")</f>
        <v>Tuesday</v>
      </c>
      <c r="C1436" s="12">
        <v>45545</v>
      </c>
      <c r="D1436" s="4">
        <v>0.7803444444444444</v>
      </c>
      <c r="E14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36" t="s">
        <v>7</v>
      </c>
      <c r="G1436" s="2">
        <v>32.82</v>
      </c>
    </row>
    <row r="1437" spans="1:7" x14ac:dyDescent="0.25">
      <c r="A14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240910-EVE002</v>
      </c>
      <c r="B1437" s="1" t="str">
        <f>TEXT(Coffee_sales_clean[[#This Row],[Transaction Date]],"dddd")</f>
        <v>Tuesday</v>
      </c>
      <c r="C1437" s="12">
        <v>45545</v>
      </c>
      <c r="D1437" s="4">
        <v>0.7815118518518519</v>
      </c>
      <c r="E14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37" t="s">
        <v>3</v>
      </c>
      <c r="G1437" s="2">
        <v>27.92</v>
      </c>
    </row>
    <row r="1438" spans="1:7" x14ac:dyDescent="0.25">
      <c r="A14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240910-EVE003</v>
      </c>
      <c r="B1438" s="1" t="str">
        <f>TEXT(Coffee_sales_clean[[#This Row],[Transaction Date]],"dddd")</f>
        <v>Tuesday</v>
      </c>
      <c r="C1438" s="12">
        <v>45545</v>
      </c>
      <c r="D1438" s="4">
        <v>0.79355355324074073</v>
      </c>
      <c r="E14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38" t="s">
        <v>0</v>
      </c>
      <c r="G1438" s="2">
        <v>32.82</v>
      </c>
    </row>
    <row r="1439" spans="1:7" x14ac:dyDescent="0.25">
      <c r="A14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240910-EVE004</v>
      </c>
      <c r="B1439" s="1" t="str">
        <f>TEXT(Coffee_sales_clean[[#This Row],[Transaction Date]],"dddd")</f>
        <v>Tuesday</v>
      </c>
      <c r="C1439" s="12">
        <v>45545</v>
      </c>
      <c r="D1439" s="4">
        <v>0.79436640046296292</v>
      </c>
      <c r="E14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39" t="s">
        <v>0</v>
      </c>
      <c r="G1439" s="2">
        <v>32.82</v>
      </c>
    </row>
    <row r="1440" spans="1:7" x14ac:dyDescent="0.25">
      <c r="A14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240910-LAT001</v>
      </c>
      <c r="B1440" s="1" t="str">
        <f>TEXT(Coffee_sales_clean[[#This Row],[Transaction Date]],"dddd")</f>
        <v>Tuesday</v>
      </c>
      <c r="C1440" s="12">
        <v>45545</v>
      </c>
      <c r="D1440" s="4">
        <v>0.89553884259259264</v>
      </c>
      <c r="E14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40" t="s">
        <v>3</v>
      </c>
      <c r="G1440" s="2">
        <v>27.92</v>
      </c>
    </row>
    <row r="1441" spans="1:7" x14ac:dyDescent="0.25">
      <c r="A14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240910-LAT002</v>
      </c>
      <c r="B1441" s="1" t="str">
        <f>TEXT(Coffee_sales_clean[[#This Row],[Transaction Date]],"dddd")</f>
        <v>Tuesday</v>
      </c>
      <c r="C1441" s="12">
        <v>45545</v>
      </c>
      <c r="D1441" s="4">
        <v>0.89614625000000003</v>
      </c>
      <c r="E14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41" t="s">
        <v>2</v>
      </c>
      <c r="G1441" s="2">
        <v>23.02</v>
      </c>
    </row>
    <row r="1442" spans="1:7" x14ac:dyDescent="0.25">
      <c r="A14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240911-MOR001</v>
      </c>
      <c r="B1442" s="1" t="str">
        <f>TEXT(Coffee_sales_clean[[#This Row],[Transaction Date]],"dddd")</f>
        <v>Wednesday</v>
      </c>
      <c r="C1442" s="12">
        <v>45546</v>
      </c>
      <c r="D1442" s="4">
        <v>0.36623038194444446</v>
      </c>
      <c r="E14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42" t="s">
        <v>0</v>
      </c>
      <c r="G1442" s="2">
        <v>32.82</v>
      </c>
    </row>
    <row r="1443" spans="1:7" x14ac:dyDescent="0.25">
      <c r="A14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240911-MOR002</v>
      </c>
      <c r="B1443" s="1" t="str">
        <f>TEXT(Coffee_sales_clean[[#This Row],[Transaction Date]],"dddd")</f>
        <v>Wednesday</v>
      </c>
      <c r="C1443" s="12">
        <v>45546</v>
      </c>
      <c r="D1443" s="4">
        <v>0.39498561342592592</v>
      </c>
      <c r="E14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43" t="s">
        <v>3</v>
      </c>
      <c r="G1443" s="2">
        <v>27.92</v>
      </c>
    </row>
    <row r="1444" spans="1:7" x14ac:dyDescent="0.25">
      <c r="A14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240911-MOR003</v>
      </c>
      <c r="B1444" s="1" t="str">
        <f>TEXT(Coffee_sales_clean[[#This Row],[Transaction Date]],"dddd")</f>
        <v>Wednesday</v>
      </c>
      <c r="C1444" s="12">
        <v>45546</v>
      </c>
      <c r="D1444" s="4">
        <v>0.45288399305555554</v>
      </c>
      <c r="E14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44" t="s">
        <v>0</v>
      </c>
      <c r="G1444" s="2">
        <v>32.82</v>
      </c>
    </row>
    <row r="1445" spans="1:7" x14ac:dyDescent="0.25">
      <c r="A14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240911-EVE001</v>
      </c>
      <c r="B1445" s="1" t="str">
        <f>TEXT(Coffee_sales_clean[[#This Row],[Transaction Date]],"dddd")</f>
        <v>Wednesday</v>
      </c>
      <c r="C1445" s="12">
        <v>45546</v>
      </c>
      <c r="D1445" s="4">
        <v>0.82861732638888885</v>
      </c>
      <c r="E14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45" t="s">
        <v>7</v>
      </c>
      <c r="G1445" s="2">
        <v>32.82</v>
      </c>
    </row>
    <row r="1446" spans="1:7" x14ac:dyDescent="0.25">
      <c r="A14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240911-LAT001</v>
      </c>
      <c r="B1446" s="1" t="str">
        <f>TEXT(Coffee_sales_clean[[#This Row],[Transaction Date]],"dddd")</f>
        <v>Wednesday</v>
      </c>
      <c r="C1446" s="12">
        <v>45546</v>
      </c>
      <c r="D1446" s="4">
        <v>0.84253341435185181</v>
      </c>
      <c r="E14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46" t="s">
        <v>3</v>
      </c>
      <c r="G1446" s="2">
        <v>27.92</v>
      </c>
    </row>
    <row r="1447" spans="1:7" x14ac:dyDescent="0.25">
      <c r="A14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240911-LAT002</v>
      </c>
      <c r="B1447" s="1" t="str">
        <f>TEXT(Coffee_sales_clean[[#This Row],[Transaction Date]],"dddd")</f>
        <v>Wednesday</v>
      </c>
      <c r="C1447" s="12">
        <v>45546</v>
      </c>
      <c r="D1447" s="4">
        <v>0.84327414351851848</v>
      </c>
      <c r="E14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47" t="s">
        <v>0</v>
      </c>
      <c r="G1447" s="2">
        <v>32.82</v>
      </c>
    </row>
    <row r="1448" spans="1:7" x14ac:dyDescent="0.25">
      <c r="A14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240911-LAT003</v>
      </c>
      <c r="B1448" s="1" t="str">
        <f>TEXT(Coffee_sales_clean[[#This Row],[Transaction Date]],"dddd")</f>
        <v>Wednesday</v>
      </c>
      <c r="C1448" s="12">
        <v>45546</v>
      </c>
      <c r="D1448" s="4">
        <v>0.84397395833333333</v>
      </c>
      <c r="E14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48" t="s">
        <v>0</v>
      </c>
      <c r="G1448" s="2">
        <v>32.82</v>
      </c>
    </row>
    <row r="1449" spans="1:7" x14ac:dyDescent="0.25">
      <c r="A14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240911-LAT004</v>
      </c>
      <c r="B1449" s="1" t="str">
        <f>TEXT(Coffee_sales_clean[[#This Row],[Transaction Date]],"dddd")</f>
        <v>Wednesday</v>
      </c>
      <c r="C1449" s="12">
        <v>45546</v>
      </c>
      <c r="D1449" s="4">
        <v>0.87609056712962963</v>
      </c>
      <c r="E14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49" t="s">
        <v>5</v>
      </c>
      <c r="G1449" s="2">
        <v>23.02</v>
      </c>
    </row>
    <row r="1450" spans="1:7" x14ac:dyDescent="0.25">
      <c r="A14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240912-MOR001</v>
      </c>
      <c r="B1450" s="1" t="str">
        <f>TEXT(Coffee_sales_clean[[#This Row],[Transaction Date]],"dddd")</f>
        <v>Thursday</v>
      </c>
      <c r="C1450" s="12">
        <v>45547</v>
      </c>
      <c r="D1450" s="4">
        <v>0.45654651620370368</v>
      </c>
      <c r="E14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50" t="s">
        <v>6</v>
      </c>
      <c r="G1450" s="2">
        <v>18.12</v>
      </c>
    </row>
    <row r="1451" spans="1:7" x14ac:dyDescent="0.25">
      <c r="A14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240912-MOR002</v>
      </c>
      <c r="B1451" s="1" t="str">
        <f>TEXT(Coffee_sales_clean[[#This Row],[Transaction Date]],"dddd")</f>
        <v>Thursday</v>
      </c>
      <c r="C1451" s="12">
        <v>45547</v>
      </c>
      <c r="D1451" s="4">
        <v>0.45717369212962961</v>
      </c>
      <c r="E14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51" t="s">
        <v>3</v>
      </c>
      <c r="G1451" s="2">
        <v>27.92</v>
      </c>
    </row>
    <row r="1452" spans="1:7" x14ac:dyDescent="0.25">
      <c r="A14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240912-LUN001</v>
      </c>
      <c r="B1452" s="1" t="str">
        <f>TEXT(Coffee_sales_clean[[#This Row],[Transaction Date]],"dddd")</f>
        <v>Thursday</v>
      </c>
      <c r="C1452" s="12">
        <v>45547</v>
      </c>
      <c r="D1452" s="4">
        <v>0.47750075231481481</v>
      </c>
      <c r="E14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52" t="s">
        <v>3</v>
      </c>
      <c r="G1452" s="2">
        <v>27.92</v>
      </c>
    </row>
    <row r="1453" spans="1:7" x14ac:dyDescent="0.25">
      <c r="A14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240912-LUN002</v>
      </c>
      <c r="B1453" s="1" t="str">
        <f>TEXT(Coffee_sales_clean[[#This Row],[Transaction Date]],"dddd")</f>
        <v>Thursday</v>
      </c>
      <c r="C1453" s="12">
        <v>45547</v>
      </c>
      <c r="D1453" s="4">
        <v>0.50581201388888886</v>
      </c>
      <c r="E14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53" t="s">
        <v>7</v>
      </c>
      <c r="G1453" s="2">
        <v>32.82</v>
      </c>
    </row>
    <row r="1454" spans="1:7" x14ac:dyDescent="0.25">
      <c r="A14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240912-LUN003</v>
      </c>
      <c r="B1454" s="1" t="str">
        <f>TEXT(Coffee_sales_clean[[#This Row],[Transaction Date]],"dddd")</f>
        <v>Thursday</v>
      </c>
      <c r="C1454" s="12">
        <v>45547</v>
      </c>
      <c r="D1454" s="4">
        <v>0.5216087615740741</v>
      </c>
      <c r="E14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54" t="s">
        <v>5</v>
      </c>
      <c r="G1454" s="2">
        <v>23.02</v>
      </c>
    </row>
    <row r="1455" spans="1:7" x14ac:dyDescent="0.25">
      <c r="A14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240912-LUN004</v>
      </c>
      <c r="B1455" s="1" t="str">
        <f>TEXT(Coffee_sales_clean[[#This Row],[Transaction Date]],"dddd")</f>
        <v>Thursday</v>
      </c>
      <c r="C1455" s="12">
        <v>45547</v>
      </c>
      <c r="D1455" s="4">
        <v>0.52248820601851853</v>
      </c>
      <c r="E14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55" t="s">
        <v>5</v>
      </c>
      <c r="G1455" s="2">
        <v>23.02</v>
      </c>
    </row>
    <row r="1456" spans="1:7" x14ac:dyDescent="0.25">
      <c r="A14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240912-LUN005</v>
      </c>
      <c r="B1456" s="1" t="str">
        <f>TEXT(Coffee_sales_clean[[#This Row],[Transaction Date]],"dddd")</f>
        <v>Thursday</v>
      </c>
      <c r="C1456" s="12">
        <v>45547</v>
      </c>
      <c r="D1456" s="4">
        <v>0.5259308217592592</v>
      </c>
      <c r="E14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56" t="s">
        <v>5</v>
      </c>
      <c r="G1456" s="2">
        <v>23.02</v>
      </c>
    </row>
    <row r="1457" spans="1:7" x14ac:dyDescent="0.25">
      <c r="A14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240912-LUN006</v>
      </c>
      <c r="B1457" s="1" t="str">
        <f>TEXT(Coffee_sales_clean[[#This Row],[Transaction Date]],"dddd")</f>
        <v>Thursday</v>
      </c>
      <c r="C1457" s="12">
        <v>45547</v>
      </c>
      <c r="D1457" s="4">
        <v>0.52650156250000002</v>
      </c>
      <c r="E14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57" t="s">
        <v>5</v>
      </c>
      <c r="G1457" s="2">
        <v>23.02</v>
      </c>
    </row>
    <row r="1458" spans="1:7" x14ac:dyDescent="0.25">
      <c r="A14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240912-EVE001</v>
      </c>
      <c r="B1458" s="1" t="str">
        <f>TEXT(Coffee_sales_clean[[#This Row],[Transaction Date]],"dddd")</f>
        <v>Thursday</v>
      </c>
      <c r="C1458" s="12">
        <v>45547</v>
      </c>
      <c r="D1458" s="4">
        <v>0.70931972222222217</v>
      </c>
      <c r="E14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58" t="s">
        <v>0</v>
      </c>
      <c r="G1458" s="2">
        <v>32.82</v>
      </c>
    </row>
    <row r="1459" spans="1:7" x14ac:dyDescent="0.25">
      <c r="A14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240912-LAT001</v>
      </c>
      <c r="B1459" s="1" t="str">
        <f>TEXT(Coffee_sales_clean[[#This Row],[Transaction Date]],"dddd")</f>
        <v>Thursday</v>
      </c>
      <c r="C1459" s="12">
        <v>45547</v>
      </c>
      <c r="D1459" s="4">
        <v>0.8813705092592593</v>
      </c>
      <c r="E14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59" t="s">
        <v>2</v>
      </c>
      <c r="G1459" s="2">
        <v>23.02</v>
      </c>
    </row>
    <row r="1460" spans="1:7" x14ac:dyDescent="0.25">
      <c r="A14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240912-LAT002</v>
      </c>
      <c r="B1460" s="1" t="str">
        <f>TEXT(Coffee_sales_clean[[#This Row],[Transaction Date]],"dddd")</f>
        <v>Thursday</v>
      </c>
      <c r="C1460" s="12">
        <v>45547</v>
      </c>
      <c r="D1460" s="4">
        <v>0.88218934027777773</v>
      </c>
      <c r="E14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60" t="s">
        <v>7</v>
      </c>
      <c r="G1460" s="2">
        <v>32.82</v>
      </c>
    </row>
    <row r="1461" spans="1:7" x14ac:dyDescent="0.25">
      <c r="A14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240912-LAT003</v>
      </c>
      <c r="B1461" s="1" t="str">
        <f>TEXT(Coffee_sales_clean[[#This Row],[Transaction Date]],"dddd")</f>
        <v>Thursday</v>
      </c>
      <c r="C1461" s="12">
        <v>45547</v>
      </c>
      <c r="D1461" s="4">
        <v>0.88422231481481484</v>
      </c>
      <c r="E14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61" t="s">
        <v>5</v>
      </c>
      <c r="G1461" s="2">
        <v>23.02</v>
      </c>
    </row>
    <row r="1462" spans="1:7" x14ac:dyDescent="0.25">
      <c r="A14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240913-MOR001</v>
      </c>
      <c r="B1462" s="1" t="str">
        <f>TEXT(Coffee_sales_clean[[#This Row],[Transaction Date]],"dddd")</f>
        <v>Friday</v>
      </c>
      <c r="C1462" s="12">
        <v>45548</v>
      </c>
      <c r="D1462" s="4">
        <v>0.3311778125</v>
      </c>
      <c r="E14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62" t="s">
        <v>0</v>
      </c>
      <c r="G1462" s="2">
        <v>32.82</v>
      </c>
    </row>
    <row r="1463" spans="1:7" x14ac:dyDescent="0.25">
      <c r="A14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240913-MOR002</v>
      </c>
      <c r="B1463" s="1" t="str">
        <f>TEXT(Coffee_sales_clean[[#This Row],[Transaction Date]],"dddd")</f>
        <v>Friday</v>
      </c>
      <c r="C1463" s="12">
        <v>45548</v>
      </c>
      <c r="D1463" s="4">
        <v>0.36184010416666668</v>
      </c>
      <c r="E14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63" t="s">
        <v>0</v>
      </c>
      <c r="G1463" s="2">
        <v>32.82</v>
      </c>
    </row>
    <row r="1464" spans="1:7" x14ac:dyDescent="0.25">
      <c r="A14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240913-MOR003</v>
      </c>
      <c r="B1464" s="1" t="str">
        <f>TEXT(Coffee_sales_clean[[#This Row],[Transaction Date]],"dddd")</f>
        <v>Friday</v>
      </c>
      <c r="C1464" s="12">
        <v>45548</v>
      </c>
      <c r="D1464" s="4">
        <v>0.37101636574074076</v>
      </c>
      <c r="E14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64" t="s">
        <v>0</v>
      </c>
      <c r="G1464" s="2">
        <v>32.82</v>
      </c>
    </row>
    <row r="1465" spans="1:7" x14ac:dyDescent="0.25">
      <c r="A14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240913-MOR004</v>
      </c>
      <c r="B1465" s="1" t="str">
        <f>TEXT(Coffee_sales_clean[[#This Row],[Transaction Date]],"dddd")</f>
        <v>Friday</v>
      </c>
      <c r="C1465" s="12">
        <v>45548</v>
      </c>
      <c r="D1465" s="4">
        <v>0.41064105324074074</v>
      </c>
      <c r="E14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65" t="s">
        <v>0</v>
      </c>
      <c r="G1465" s="2">
        <v>32.82</v>
      </c>
    </row>
    <row r="1466" spans="1:7" x14ac:dyDescent="0.25">
      <c r="A14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240913-AFT001</v>
      </c>
      <c r="B1466" s="1" t="str">
        <f>TEXT(Coffee_sales_clean[[#This Row],[Transaction Date]],"dddd")</f>
        <v>Friday</v>
      </c>
      <c r="C1466" s="12">
        <v>45548</v>
      </c>
      <c r="D1466" s="4">
        <v>0.65160728009259261</v>
      </c>
      <c r="E14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66" t="s">
        <v>3</v>
      </c>
      <c r="G1466" s="2">
        <v>27.92</v>
      </c>
    </row>
    <row r="1467" spans="1:7" x14ac:dyDescent="0.25">
      <c r="A14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240913-AFT002</v>
      </c>
      <c r="B1467" s="1" t="str">
        <f>TEXT(Coffee_sales_clean[[#This Row],[Transaction Date]],"dddd")</f>
        <v>Friday</v>
      </c>
      <c r="C1467" s="12">
        <v>45548</v>
      </c>
      <c r="D1467" s="4">
        <v>0.66034597222222224</v>
      </c>
      <c r="E14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67" t="s">
        <v>3</v>
      </c>
      <c r="G1467" s="2">
        <v>27.92</v>
      </c>
    </row>
    <row r="1468" spans="1:7" x14ac:dyDescent="0.25">
      <c r="A14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240914-AFT001</v>
      </c>
      <c r="B1468" s="1" t="str">
        <f>TEXT(Coffee_sales_clean[[#This Row],[Transaction Date]],"dddd")</f>
        <v>Saturday</v>
      </c>
      <c r="C1468" s="12">
        <v>45549</v>
      </c>
      <c r="D1468" s="4">
        <v>0.68702961805555551</v>
      </c>
      <c r="E14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68" t="s">
        <v>7</v>
      </c>
      <c r="G1468" s="2">
        <v>32.82</v>
      </c>
    </row>
    <row r="1469" spans="1:7" x14ac:dyDescent="0.25">
      <c r="A14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240914-AFT002</v>
      </c>
      <c r="B1469" s="1" t="str">
        <f>TEXT(Coffee_sales_clean[[#This Row],[Transaction Date]],"dddd")</f>
        <v>Saturday</v>
      </c>
      <c r="C1469" s="12">
        <v>45549</v>
      </c>
      <c r="D1469" s="4">
        <v>0.68769528935185187</v>
      </c>
      <c r="E14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69" t="s">
        <v>7</v>
      </c>
      <c r="G1469" s="2">
        <v>32.82</v>
      </c>
    </row>
    <row r="1470" spans="1:7" x14ac:dyDescent="0.25">
      <c r="A14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240915-MOR001</v>
      </c>
      <c r="B1470" s="1" t="str">
        <f>TEXT(Coffee_sales_clean[[#This Row],[Transaction Date]],"dddd")</f>
        <v>Sunday</v>
      </c>
      <c r="C1470" s="12">
        <v>45550</v>
      </c>
      <c r="D1470" s="4">
        <v>0.36297385416666667</v>
      </c>
      <c r="E14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70" t="s">
        <v>6</v>
      </c>
      <c r="G1470" s="2">
        <v>18.12</v>
      </c>
    </row>
    <row r="1471" spans="1:7" x14ac:dyDescent="0.25">
      <c r="A14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240915-MOR002</v>
      </c>
      <c r="B1471" s="1" t="str">
        <f>TEXT(Coffee_sales_clean[[#This Row],[Transaction Date]],"dddd")</f>
        <v>Sunday</v>
      </c>
      <c r="C1471" s="12">
        <v>45550</v>
      </c>
      <c r="D1471" s="4">
        <v>0.40947616898148148</v>
      </c>
      <c r="E14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71" t="s">
        <v>3</v>
      </c>
      <c r="G1471" s="2">
        <v>27.92</v>
      </c>
    </row>
    <row r="1472" spans="1:7" x14ac:dyDescent="0.25">
      <c r="A14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240915-LUN001</v>
      </c>
      <c r="B1472" s="1" t="str">
        <f>TEXT(Coffee_sales_clean[[#This Row],[Transaction Date]],"dddd")</f>
        <v>Sunday</v>
      </c>
      <c r="C1472" s="12">
        <v>45550</v>
      </c>
      <c r="D1472" s="4">
        <v>0.57612716435185185</v>
      </c>
      <c r="E14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72" t="s">
        <v>2</v>
      </c>
      <c r="G1472" s="2">
        <v>23.02</v>
      </c>
    </row>
    <row r="1473" spans="1:7" x14ac:dyDescent="0.25">
      <c r="A14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240915-AFT001</v>
      </c>
      <c r="B1473" s="1" t="str">
        <f>TEXT(Coffee_sales_clean[[#This Row],[Transaction Date]],"dddd")</f>
        <v>Sunday</v>
      </c>
      <c r="C1473" s="12">
        <v>45550</v>
      </c>
      <c r="D1473" s="4">
        <v>0.60855656250000001</v>
      </c>
      <c r="E14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73" t="s">
        <v>5</v>
      </c>
      <c r="G1473" s="2">
        <v>23.02</v>
      </c>
    </row>
    <row r="1474" spans="1:7" x14ac:dyDescent="0.25">
      <c r="A14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240915-AFT002</v>
      </c>
      <c r="B1474" s="1" t="str">
        <f>TEXT(Coffee_sales_clean[[#This Row],[Transaction Date]],"dddd")</f>
        <v>Sunday</v>
      </c>
      <c r="C1474" s="12">
        <v>45550</v>
      </c>
      <c r="D1474" s="4">
        <v>0.60926616898148145</v>
      </c>
      <c r="E14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74" t="s">
        <v>5</v>
      </c>
      <c r="G1474" s="2">
        <v>23.02</v>
      </c>
    </row>
    <row r="1475" spans="1:7" x14ac:dyDescent="0.25">
      <c r="A14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240915-AFT003</v>
      </c>
      <c r="B1475" s="1" t="str">
        <f>TEXT(Coffee_sales_clean[[#This Row],[Transaction Date]],"dddd")</f>
        <v>Sunday</v>
      </c>
      <c r="C1475" s="12">
        <v>45550</v>
      </c>
      <c r="D1475" s="4">
        <v>0.62035541666666671</v>
      </c>
      <c r="E14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75" t="s">
        <v>7</v>
      </c>
      <c r="G1475" s="2">
        <v>32.82</v>
      </c>
    </row>
    <row r="1476" spans="1:7" x14ac:dyDescent="0.25">
      <c r="A14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240916-LUN001</v>
      </c>
      <c r="B1476" s="1" t="str">
        <f>TEXT(Coffee_sales_clean[[#This Row],[Transaction Date]],"dddd")</f>
        <v>Monday</v>
      </c>
      <c r="C1476" s="12">
        <v>45551</v>
      </c>
      <c r="D1476" s="4">
        <v>0.56415364583333338</v>
      </c>
      <c r="E14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76" t="s">
        <v>0</v>
      </c>
      <c r="G1476" s="2">
        <v>32.82</v>
      </c>
    </row>
    <row r="1477" spans="1:7" x14ac:dyDescent="0.25">
      <c r="A14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240916-LUN002</v>
      </c>
      <c r="B1477" s="1" t="str">
        <f>TEXT(Coffee_sales_clean[[#This Row],[Transaction Date]],"dddd")</f>
        <v>Monday</v>
      </c>
      <c r="C1477" s="12">
        <v>45551</v>
      </c>
      <c r="D1477" s="4">
        <v>0.56500887731481486</v>
      </c>
      <c r="E14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77" t="s">
        <v>3</v>
      </c>
      <c r="G1477" s="2">
        <v>27.92</v>
      </c>
    </row>
    <row r="1478" spans="1:7" x14ac:dyDescent="0.25">
      <c r="A14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240916-AFT001</v>
      </c>
      <c r="B1478" s="1" t="str">
        <f>TEXT(Coffee_sales_clean[[#This Row],[Transaction Date]],"dddd")</f>
        <v>Monday</v>
      </c>
      <c r="C1478" s="12">
        <v>45551</v>
      </c>
      <c r="D1478" s="4">
        <v>0.6411951388888889</v>
      </c>
      <c r="E14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78" t="s">
        <v>0</v>
      </c>
      <c r="G1478" s="2">
        <v>32.82</v>
      </c>
    </row>
    <row r="1479" spans="1:7" x14ac:dyDescent="0.25">
      <c r="A14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240916-EVE001</v>
      </c>
      <c r="B1479" s="1" t="str">
        <f>TEXT(Coffee_sales_clean[[#This Row],[Transaction Date]],"dddd")</f>
        <v>Monday</v>
      </c>
      <c r="C1479" s="12">
        <v>45551</v>
      </c>
      <c r="D1479" s="4">
        <v>0.71951081018518515</v>
      </c>
      <c r="E14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79" t="s">
        <v>3</v>
      </c>
      <c r="G1479" s="2">
        <v>27.92</v>
      </c>
    </row>
    <row r="1480" spans="1:7" x14ac:dyDescent="0.25">
      <c r="A14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240916-EVE002</v>
      </c>
      <c r="B1480" s="1" t="str">
        <f>TEXT(Coffee_sales_clean[[#This Row],[Transaction Date]],"dddd")</f>
        <v>Monday</v>
      </c>
      <c r="C1480" s="12">
        <v>45551</v>
      </c>
      <c r="D1480" s="4">
        <v>0.72087096064814815</v>
      </c>
      <c r="E14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80" t="s">
        <v>0</v>
      </c>
      <c r="G1480" s="2">
        <v>32.82</v>
      </c>
    </row>
    <row r="1481" spans="1:7" x14ac:dyDescent="0.25">
      <c r="A14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240916-EVE003</v>
      </c>
      <c r="B1481" s="1" t="str">
        <f>TEXT(Coffee_sales_clean[[#This Row],[Transaction Date]],"dddd")</f>
        <v>Monday</v>
      </c>
      <c r="C1481" s="12">
        <v>45551</v>
      </c>
      <c r="D1481" s="4">
        <v>0.7880260185185185</v>
      </c>
      <c r="E14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81" t="s">
        <v>0</v>
      </c>
      <c r="G1481" s="2">
        <v>32.82</v>
      </c>
    </row>
    <row r="1482" spans="1:7" x14ac:dyDescent="0.25">
      <c r="A14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240916-EVE004</v>
      </c>
      <c r="B1482" s="1" t="str">
        <f>TEXT(Coffee_sales_clean[[#This Row],[Transaction Date]],"dddd")</f>
        <v>Monday</v>
      </c>
      <c r="C1482" s="12">
        <v>45551</v>
      </c>
      <c r="D1482" s="4">
        <v>0.78894994212962966</v>
      </c>
      <c r="E14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482" t="s">
        <v>0</v>
      </c>
      <c r="G1482" s="2">
        <v>32.82</v>
      </c>
    </row>
    <row r="1483" spans="1:7" x14ac:dyDescent="0.25">
      <c r="A14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240916-LAT001</v>
      </c>
      <c r="B1483" s="1" t="str">
        <f>TEXT(Coffee_sales_clean[[#This Row],[Transaction Date]],"dddd")</f>
        <v>Monday</v>
      </c>
      <c r="C1483" s="12">
        <v>45551</v>
      </c>
      <c r="D1483" s="4">
        <v>0.88216079861111107</v>
      </c>
      <c r="E14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83" t="s">
        <v>3</v>
      </c>
      <c r="G1483" s="2">
        <v>27.92</v>
      </c>
    </row>
    <row r="1484" spans="1:7" x14ac:dyDescent="0.25">
      <c r="A14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240916-LAT002</v>
      </c>
      <c r="B1484" s="1" t="str">
        <f>TEXT(Coffee_sales_clean[[#This Row],[Transaction Date]],"dddd")</f>
        <v>Monday</v>
      </c>
      <c r="C1484" s="12">
        <v>45551</v>
      </c>
      <c r="D1484" s="4">
        <v>0.88301504629629635</v>
      </c>
      <c r="E14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84" t="s">
        <v>0</v>
      </c>
      <c r="G1484" s="2">
        <v>32.82</v>
      </c>
    </row>
    <row r="1485" spans="1:7" x14ac:dyDescent="0.25">
      <c r="A14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240916-LAT003</v>
      </c>
      <c r="B1485" s="1" t="str">
        <f>TEXT(Coffee_sales_clean[[#This Row],[Transaction Date]],"dddd")</f>
        <v>Monday</v>
      </c>
      <c r="C1485" s="12">
        <v>45551</v>
      </c>
      <c r="D1485" s="4">
        <v>0.90124199074074074</v>
      </c>
      <c r="E14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85" t="s">
        <v>3</v>
      </c>
      <c r="G1485" s="2">
        <v>27.92</v>
      </c>
    </row>
    <row r="1486" spans="1:7" x14ac:dyDescent="0.25">
      <c r="A14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240916-LAT004</v>
      </c>
      <c r="B1486" s="1" t="str">
        <f>TEXT(Coffee_sales_clean[[#This Row],[Transaction Date]],"dddd")</f>
        <v>Monday</v>
      </c>
      <c r="C1486" s="12">
        <v>45551</v>
      </c>
      <c r="D1486" s="4">
        <v>0.90195215277777774</v>
      </c>
      <c r="E14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486" t="s">
        <v>3</v>
      </c>
      <c r="G1486" s="2">
        <v>27.92</v>
      </c>
    </row>
    <row r="1487" spans="1:7" x14ac:dyDescent="0.25">
      <c r="A14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240917-MOR001</v>
      </c>
      <c r="B1487" s="1" t="str">
        <f>TEXT(Coffee_sales_clean[[#This Row],[Transaction Date]],"dddd")</f>
        <v>Tuesday</v>
      </c>
      <c r="C1487" s="12">
        <v>45552</v>
      </c>
      <c r="D1487" s="4">
        <v>0.32983711805555554</v>
      </c>
      <c r="E14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87" t="s">
        <v>5</v>
      </c>
      <c r="G1487" s="2">
        <v>23.02</v>
      </c>
    </row>
    <row r="1488" spans="1:7" x14ac:dyDescent="0.25">
      <c r="A14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240917-MOR002</v>
      </c>
      <c r="B1488" s="1" t="str">
        <f>TEXT(Coffee_sales_clean[[#This Row],[Transaction Date]],"dddd")</f>
        <v>Tuesday</v>
      </c>
      <c r="C1488" s="12">
        <v>45552</v>
      </c>
      <c r="D1488" s="4">
        <v>0.33959370370370373</v>
      </c>
      <c r="E14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88" t="s">
        <v>0</v>
      </c>
      <c r="G1488" s="2">
        <v>32.82</v>
      </c>
    </row>
    <row r="1489" spans="1:7" x14ac:dyDescent="0.25">
      <c r="A14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240917-MOR003</v>
      </c>
      <c r="B1489" s="1" t="str">
        <f>TEXT(Coffee_sales_clean[[#This Row],[Transaction Date]],"dddd")</f>
        <v>Tuesday</v>
      </c>
      <c r="C1489" s="12">
        <v>45552</v>
      </c>
      <c r="D1489" s="4">
        <v>0.35946241898148146</v>
      </c>
      <c r="E14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89" t="s">
        <v>3</v>
      </c>
      <c r="G1489" s="2">
        <v>27.92</v>
      </c>
    </row>
    <row r="1490" spans="1:7" x14ac:dyDescent="0.25">
      <c r="A14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240917-MOR004</v>
      </c>
      <c r="B1490" s="1" t="str">
        <f>TEXT(Coffee_sales_clean[[#This Row],[Transaction Date]],"dddd")</f>
        <v>Tuesday</v>
      </c>
      <c r="C1490" s="12">
        <v>45552</v>
      </c>
      <c r="D1490" s="4">
        <v>0.36286428240740742</v>
      </c>
      <c r="E14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90" t="s">
        <v>5</v>
      </c>
      <c r="G1490" s="2">
        <v>23.02</v>
      </c>
    </row>
    <row r="1491" spans="1:7" x14ac:dyDescent="0.25">
      <c r="A14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240917-MOR005</v>
      </c>
      <c r="B1491" s="1" t="str">
        <f>TEXT(Coffee_sales_clean[[#This Row],[Transaction Date]],"dddd")</f>
        <v>Tuesday</v>
      </c>
      <c r="C1491" s="12">
        <v>45552</v>
      </c>
      <c r="D1491" s="4">
        <v>0.38198790509259262</v>
      </c>
      <c r="E14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91" t="s">
        <v>7</v>
      </c>
      <c r="G1491" s="2">
        <v>32.82</v>
      </c>
    </row>
    <row r="1492" spans="1:7" x14ac:dyDescent="0.25">
      <c r="A14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240917-MOR006</v>
      </c>
      <c r="B1492" s="1" t="str">
        <f>TEXT(Coffee_sales_clean[[#This Row],[Transaction Date]],"dddd")</f>
        <v>Tuesday</v>
      </c>
      <c r="C1492" s="12">
        <v>45552</v>
      </c>
      <c r="D1492" s="4">
        <v>0.38273403935185185</v>
      </c>
      <c r="E14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92" t="s">
        <v>3</v>
      </c>
      <c r="G1492" s="2">
        <v>27.92</v>
      </c>
    </row>
    <row r="1493" spans="1:7" x14ac:dyDescent="0.25">
      <c r="A14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240917-MOR007</v>
      </c>
      <c r="B1493" s="1" t="str">
        <f>TEXT(Coffee_sales_clean[[#This Row],[Transaction Date]],"dddd")</f>
        <v>Tuesday</v>
      </c>
      <c r="C1493" s="12">
        <v>45552</v>
      </c>
      <c r="D1493" s="4">
        <v>0.39926805555555556</v>
      </c>
      <c r="E14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493" t="s">
        <v>3</v>
      </c>
      <c r="G1493" s="2">
        <v>27.92</v>
      </c>
    </row>
    <row r="1494" spans="1:7" x14ac:dyDescent="0.25">
      <c r="A14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240917-LUN001</v>
      </c>
      <c r="B1494" s="1" t="str">
        <f>TEXT(Coffee_sales_clean[[#This Row],[Transaction Date]],"dddd")</f>
        <v>Tuesday</v>
      </c>
      <c r="C1494" s="12">
        <v>45552</v>
      </c>
      <c r="D1494" s="4">
        <v>0.52677972222222225</v>
      </c>
      <c r="E14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94" t="s">
        <v>6</v>
      </c>
      <c r="G1494" s="2">
        <v>18.12</v>
      </c>
    </row>
    <row r="1495" spans="1:7" x14ac:dyDescent="0.25">
      <c r="A14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240917-LUN002</v>
      </c>
      <c r="B1495" s="1" t="str">
        <f>TEXT(Coffee_sales_clean[[#This Row],[Transaction Date]],"dddd")</f>
        <v>Tuesday</v>
      </c>
      <c r="C1495" s="12">
        <v>45552</v>
      </c>
      <c r="D1495" s="4">
        <v>0.52747317129629634</v>
      </c>
      <c r="E14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95" t="s">
        <v>3</v>
      </c>
      <c r="G1495" s="2">
        <v>27.92</v>
      </c>
    </row>
    <row r="1496" spans="1:7" x14ac:dyDescent="0.25">
      <c r="A14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240917-LUN003</v>
      </c>
      <c r="B1496" s="1" t="str">
        <f>TEXT(Coffee_sales_clean[[#This Row],[Transaction Date]],"dddd")</f>
        <v>Tuesday</v>
      </c>
      <c r="C1496" s="12">
        <v>45552</v>
      </c>
      <c r="D1496" s="4">
        <v>0.53073092592592597</v>
      </c>
      <c r="E14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96" t="s">
        <v>0</v>
      </c>
      <c r="G1496" s="2">
        <v>32.82</v>
      </c>
    </row>
    <row r="1497" spans="1:7" x14ac:dyDescent="0.25">
      <c r="A14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240917-LUN004</v>
      </c>
      <c r="B1497" s="1" t="str">
        <f>TEXT(Coffee_sales_clean[[#This Row],[Transaction Date]],"dddd")</f>
        <v>Tuesday</v>
      </c>
      <c r="C1497" s="12">
        <v>45552</v>
      </c>
      <c r="D1497" s="4">
        <v>0.57943324074074076</v>
      </c>
      <c r="E14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97" t="s">
        <v>3</v>
      </c>
      <c r="G1497" s="2">
        <v>27.92</v>
      </c>
    </row>
    <row r="1498" spans="1:7" x14ac:dyDescent="0.25">
      <c r="A14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240917-LUN005</v>
      </c>
      <c r="B1498" s="1" t="str">
        <f>TEXT(Coffee_sales_clean[[#This Row],[Transaction Date]],"dddd")</f>
        <v>Tuesday</v>
      </c>
      <c r="C1498" s="12">
        <v>45552</v>
      </c>
      <c r="D1498" s="4">
        <v>0.5802226967592593</v>
      </c>
      <c r="E14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498" t="s">
        <v>5</v>
      </c>
      <c r="G1498" s="2">
        <v>23.02</v>
      </c>
    </row>
    <row r="1499" spans="1:7" x14ac:dyDescent="0.25">
      <c r="A14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240917-AFT001</v>
      </c>
      <c r="B1499" s="1" t="str">
        <f>TEXT(Coffee_sales_clean[[#This Row],[Transaction Date]],"dddd")</f>
        <v>Tuesday</v>
      </c>
      <c r="C1499" s="12">
        <v>45552</v>
      </c>
      <c r="D1499" s="4">
        <v>0.68723629629629635</v>
      </c>
      <c r="E14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499" t="s">
        <v>7</v>
      </c>
      <c r="G1499" s="2">
        <v>32.82</v>
      </c>
    </row>
    <row r="1500" spans="1:7" x14ac:dyDescent="0.25">
      <c r="A15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240917-AFT002</v>
      </c>
      <c r="B1500" s="1" t="str">
        <f>TEXT(Coffee_sales_clean[[#This Row],[Transaction Date]],"dddd")</f>
        <v>Tuesday</v>
      </c>
      <c r="C1500" s="12">
        <v>45552</v>
      </c>
      <c r="D1500" s="4">
        <v>0.68820273148148148</v>
      </c>
      <c r="E15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00" t="s">
        <v>0</v>
      </c>
      <c r="G1500" s="2">
        <v>32.82</v>
      </c>
    </row>
    <row r="1501" spans="1:7" x14ac:dyDescent="0.25">
      <c r="A15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240917-EVE001</v>
      </c>
      <c r="B1501" s="1" t="str">
        <f>TEXT(Coffee_sales_clean[[#This Row],[Transaction Date]],"dddd")</f>
        <v>Tuesday</v>
      </c>
      <c r="C1501" s="12">
        <v>45552</v>
      </c>
      <c r="D1501" s="4">
        <v>0.78777526620370375</v>
      </c>
      <c r="E15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01" t="s">
        <v>1</v>
      </c>
      <c r="G1501" s="2">
        <v>32.82</v>
      </c>
    </row>
    <row r="1502" spans="1:7" x14ac:dyDescent="0.25">
      <c r="A15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240917-EVE002</v>
      </c>
      <c r="B1502" s="1" t="str">
        <f>TEXT(Coffee_sales_clean[[#This Row],[Transaction Date]],"dddd")</f>
        <v>Tuesday</v>
      </c>
      <c r="C1502" s="12">
        <v>45552</v>
      </c>
      <c r="D1502" s="4">
        <v>0.79219806712962959</v>
      </c>
      <c r="E15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02" t="s">
        <v>3</v>
      </c>
      <c r="G1502" s="2">
        <v>27.92</v>
      </c>
    </row>
    <row r="1503" spans="1:7" x14ac:dyDescent="0.25">
      <c r="A15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240917-EVE003</v>
      </c>
      <c r="B1503" s="1" t="str">
        <f>TEXT(Coffee_sales_clean[[#This Row],[Transaction Date]],"dddd")</f>
        <v>Tuesday</v>
      </c>
      <c r="C1503" s="12">
        <v>45552</v>
      </c>
      <c r="D1503" s="4">
        <v>0.79436659722222225</v>
      </c>
      <c r="E15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03" t="s">
        <v>3</v>
      </c>
      <c r="G1503" s="2">
        <v>27.92</v>
      </c>
    </row>
    <row r="1504" spans="1:7" x14ac:dyDescent="0.25">
      <c r="A15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240917-EVE004</v>
      </c>
      <c r="B1504" s="1" t="str">
        <f>TEXT(Coffee_sales_clean[[#This Row],[Transaction Date]],"dddd")</f>
        <v>Tuesday</v>
      </c>
      <c r="C1504" s="12">
        <v>45552</v>
      </c>
      <c r="D1504" s="4">
        <v>0.80055445601851849</v>
      </c>
      <c r="E15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04" t="s">
        <v>0</v>
      </c>
      <c r="G1504" s="2">
        <v>32.82</v>
      </c>
    </row>
    <row r="1505" spans="1:7" x14ac:dyDescent="0.25">
      <c r="A15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240917-EVE005</v>
      </c>
      <c r="B1505" s="1" t="str">
        <f>TEXT(Coffee_sales_clean[[#This Row],[Transaction Date]],"dddd")</f>
        <v>Tuesday</v>
      </c>
      <c r="C1505" s="12">
        <v>45552</v>
      </c>
      <c r="D1505" s="4">
        <v>0.80138590277777777</v>
      </c>
      <c r="E15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05" t="s">
        <v>3</v>
      </c>
      <c r="G1505" s="2">
        <v>27.92</v>
      </c>
    </row>
    <row r="1506" spans="1:7" x14ac:dyDescent="0.25">
      <c r="A15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240917-EVE006</v>
      </c>
      <c r="B1506" s="1" t="str">
        <f>TEXT(Coffee_sales_clean[[#This Row],[Transaction Date]],"dddd")</f>
        <v>Tuesday</v>
      </c>
      <c r="C1506" s="12">
        <v>45552</v>
      </c>
      <c r="D1506" s="4">
        <v>0.80207769675925922</v>
      </c>
      <c r="E15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06" t="s">
        <v>3</v>
      </c>
      <c r="G1506" s="2">
        <v>27.92</v>
      </c>
    </row>
    <row r="1507" spans="1:7" x14ac:dyDescent="0.25">
      <c r="A15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240917-EVE007</v>
      </c>
      <c r="B1507" s="1" t="str">
        <f>TEXT(Coffee_sales_clean[[#This Row],[Transaction Date]],"dddd")</f>
        <v>Tuesday</v>
      </c>
      <c r="C1507" s="12">
        <v>45552</v>
      </c>
      <c r="D1507" s="4">
        <v>0.81385842592592594</v>
      </c>
      <c r="E15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07" t="s">
        <v>3</v>
      </c>
      <c r="G1507" s="2">
        <v>27.92</v>
      </c>
    </row>
    <row r="1508" spans="1:7" x14ac:dyDescent="0.25">
      <c r="A15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240917-LAT001</v>
      </c>
      <c r="B1508" s="1" t="str">
        <f>TEXT(Coffee_sales_clean[[#This Row],[Transaction Date]],"dddd")</f>
        <v>Tuesday</v>
      </c>
      <c r="C1508" s="12">
        <v>45552</v>
      </c>
      <c r="D1508" s="4">
        <v>0.93027755787037036</v>
      </c>
      <c r="E15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08" t="s">
        <v>1</v>
      </c>
      <c r="G1508" s="2">
        <v>32.82</v>
      </c>
    </row>
    <row r="1509" spans="1:7" x14ac:dyDescent="0.25">
      <c r="A15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240917-LAT002</v>
      </c>
      <c r="B1509" s="1" t="str">
        <f>TEXT(Coffee_sales_clean[[#This Row],[Transaction Date]],"dddd")</f>
        <v>Tuesday</v>
      </c>
      <c r="C1509" s="12">
        <v>45552</v>
      </c>
      <c r="D1509" s="4">
        <v>0.93078067129629627</v>
      </c>
      <c r="E15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09" t="s">
        <v>1</v>
      </c>
      <c r="G1509" s="2">
        <v>32.82</v>
      </c>
    </row>
    <row r="1510" spans="1:7" x14ac:dyDescent="0.25">
      <c r="A15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240918-AFT001</v>
      </c>
      <c r="B1510" s="1" t="str">
        <f>TEXT(Coffee_sales_clean[[#This Row],[Transaction Date]],"dddd")</f>
        <v>Wednesday</v>
      </c>
      <c r="C1510" s="12">
        <v>45553</v>
      </c>
      <c r="D1510" s="4">
        <v>0.60403817129629633</v>
      </c>
      <c r="E15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10" t="s">
        <v>0</v>
      </c>
      <c r="G1510" s="2">
        <v>32.82</v>
      </c>
    </row>
    <row r="1511" spans="1:7" x14ac:dyDescent="0.25">
      <c r="A15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240918-EVE001</v>
      </c>
      <c r="B1511" s="1" t="str">
        <f>TEXT(Coffee_sales_clean[[#This Row],[Transaction Date]],"dddd")</f>
        <v>Wednesday</v>
      </c>
      <c r="C1511" s="12">
        <v>45553</v>
      </c>
      <c r="D1511" s="4">
        <v>0.73217204861111107</v>
      </c>
      <c r="E15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11" t="s">
        <v>0</v>
      </c>
      <c r="G1511" s="2">
        <v>32.82</v>
      </c>
    </row>
    <row r="1512" spans="1:7" x14ac:dyDescent="0.25">
      <c r="A15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240918-LAT001</v>
      </c>
      <c r="B1512" s="1" t="str">
        <f>TEXT(Coffee_sales_clean[[#This Row],[Transaction Date]],"dddd")</f>
        <v>Wednesday</v>
      </c>
      <c r="C1512" s="12">
        <v>45553</v>
      </c>
      <c r="D1512" s="4">
        <v>0.88586525462962962</v>
      </c>
      <c r="E15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12" t="s">
        <v>3</v>
      </c>
      <c r="G1512" s="2">
        <v>27.92</v>
      </c>
    </row>
    <row r="1513" spans="1:7" x14ac:dyDescent="0.25">
      <c r="A15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240918-LAT002</v>
      </c>
      <c r="B1513" s="1" t="str">
        <f>TEXT(Coffee_sales_clean[[#This Row],[Transaction Date]],"dddd")</f>
        <v>Wednesday</v>
      </c>
      <c r="C1513" s="12">
        <v>45553</v>
      </c>
      <c r="D1513" s="4">
        <v>0.88774946759259254</v>
      </c>
      <c r="E15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13" t="s">
        <v>3</v>
      </c>
      <c r="G1513" s="2">
        <v>27.92</v>
      </c>
    </row>
    <row r="1514" spans="1:7" x14ac:dyDescent="0.25">
      <c r="A15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240919-MOR001</v>
      </c>
      <c r="B1514" s="1" t="str">
        <f>TEXT(Coffee_sales_clean[[#This Row],[Transaction Date]],"dddd")</f>
        <v>Thursday</v>
      </c>
      <c r="C1514" s="12">
        <v>45554</v>
      </c>
      <c r="D1514" s="4">
        <v>0.34535491898148146</v>
      </c>
      <c r="E15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14" t="s">
        <v>3</v>
      </c>
      <c r="G1514" s="2">
        <v>27.92</v>
      </c>
    </row>
    <row r="1515" spans="1:7" x14ac:dyDescent="0.25">
      <c r="A15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240919-MOR002</v>
      </c>
      <c r="B1515" s="1" t="str">
        <f>TEXT(Coffee_sales_clean[[#This Row],[Transaction Date]],"dddd")</f>
        <v>Thursday</v>
      </c>
      <c r="C1515" s="12">
        <v>45554</v>
      </c>
      <c r="D1515" s="4">
        <v>0.35450285879629628</v>
      </c>
      <c r="E15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15" t="s">
        <v>5</v>
      </c>
      <c r="G1515" s="2">
        <v>23.02</v>
      </c>
    </row>
    <row r="1516" spans="1:7" x14ac:dyDescent="0.25">
      <c r="A15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240919-MOR003</v>
      </c>
      <c r="B1516" s="1" t="str">
        <f>TEXT(Coffee_sales_clean[[#This Row],[Transaction Date]],"dddd")</f>
        <v>Thursday</v>
      </c>
      <c r="C1516" s="12">
        <v>45554</v>
      </c>
      <c r="D1516" s="4">
        <v>0.41771503472222221</v>
      </c>
      <c r="E15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16" t="s">
        <v>0</v>
      </c>
      <c r="G1516" s="2">
        <v>32.82</v>
      </c>
    </row>
    <row r="1517" spans="1:7" x14ac:dyDescent="0.25">
      <c r="A15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240919-LUN001</v>
      </c>
      <c r="B1517" s="1" t="str">
        <f>TEXT(Coffee_sales_clean[[#This Row],[Transaction Date]],"dddd")</f>
        <v>Thursday</v>
      </c>
      <c r="C1517" s="12">
        <v>45554</v>
      </c>
      <c r="D1517" s="4">
        <v>0.54136127314814819</v>
      </c>
      <c r="E15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17" t="s">
        <v>2</v>
      </c>
      <c r="G1517" s="2">
        <v>23.02</v>
      </c>
    </row>
    <row r="1518" spans="1:7" x14ac:dyDescent="0.25">
      <c r="A15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240919-LUN002</v>
      </c>
      <c r="B1518" s="1" t="str">
        <f>TEXT(Coffee_sales_clean[[#This Row],[Transaction Date]],"dddd")</f>
        <v>Thursday</v>
      </c>
      <c r="C1518" s="12">
        <v>45554</v>
      </c>
      <c r="D1518" s="4">
        <v>0.5420557407407407</v>
      </c>
      <c r="E15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18" t="s">
        <v>3</v>
      </c>
      <c r="G1518" s="2">
        <v>27.92</v>
      </c>
    </row>
    <row r="1519" spans="1:7" x14ac:dyDescent="0.25">
      <c r="A15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240919-LUN003</v>
      </c>
      <c r="B1519" s="1" t="str">
        <f>TEXT(Coffee_sales_clean[[#This Row],[Transaction Date]],"dddd")</f>
        <v>Thursday</v>
      </c>
      <c r="C1519" s="12">
        <v>45554</v>
      </c>
      <c r="D1519" s="4">
        <v>0.57340702546296296</v>
      </c>
      <c r="E15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19" t="s">
        <v>5</v>
      </c>
      <c r="G1519" s="2">
        <v>23.02</v>
      </c>
    </row>
    <row r="1520" spans="1:7" x14ac:dyDescent="0.25">
      <c r="A15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240920-MOR001</v>
      </c>
      <c r="B1520" s="1" t="str">
        <f>TEXT(Coffee_sales_clean[[#This Row],[Transaction Date]],"dddd")</f>
        <v>Friday</v>
      </c>
      <c r="C1520" s="12">
        <v>45555</v>
      </c>
      <c r="D1520" s="4">
        <v>0.3576033564814815</v>
      </c>
      <c r="E15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20" t="s">
        <v>3</v>
      </c>
      <c r="G1520" s="2">
        <v>27.92</v>
      </c>
    </row>
    <row r="1521" spans="1:7" x14ac:dyDescent="0.25">
      <c r="A15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240920-MOR002</v>
      </c>
      <c r="B1521" s="1" t="str">
        <f>TEXT(Coffee_sales_clean[[#This Row],[Transaction Date]],"dddd")</f>
        <v>Friday</v>
      </c>
      <c r="C1521" s="12">
        <v>45555</v>
      </c>
      <c r="D1521" s="4">
        <v>0.40712268518518518</v>
      </c>
      <c r="E15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21" t="s">
        <v>3</v>
      </c>
      <c r="G1521" s="2">
        <v>27.92</v>
      </c>
    </row>
    <row r="1522" spans="1:7" x14ac:dyDescent="0.25">
      <c r="A15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240920-LUN001</v>
      </c>
      <c r="B1522" s="1" t="str">
        <f>TEXT(Coffee_sales_clean[[#This Row],[Transaction Date]],"dddd")</f>
        <v>Friday</v>
      </c>
      <c r="C1522" s="12">
        <v>45555</v>
      </c>
      <c r="D1522" s="4">
        <v>0.56939195601851855</v>
      </c>
      <c r="E15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22" t="s">
        <v>3</v>
      </c>
      <c r="G1522" s="2">
        <v>27.92</v>
      </c>
    </row>
    <row r="1523" spans="1:7" x14ac:dyDescent="0.25">
      <c r="A15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240920-AFT001</v>
      </c>
      <c r="B1523" s="1" t="str">
        <f>TEXT(Coffee_sales_clean[[#This Row],[Transaction Date]],"dddd")</f>
        <v>Friday</v>
      </c>
      <c r="C1523" s="12">
        <v>45555</v>
      </c>
      <c r="D1523" s="4">
        <v>0.66909271990740737</v>
      </c>
      <c r="E15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23" t="s">
        <v>0</v>
      </c>
      <c r="G1523" s="2">
        <v>32.82</v>
      </c>
    </row>
    <row r="1524" spans="1:7" x14ac:dyDescent="0.25">
      <c r="A15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240920-LAT001</v>
      </c>
      <c r="B1524" s="1" t="str">
        <f>TEXT(Coffee_sales_clean[[#This Row],[Transaction Date]],"dddd")</f>
        <v>Friday</v>
      </c>
      <c r="C1524" s="12">
        <v>45555</v>
      </c>
      <c r="D1524" s="4">
        <v>0.86068436342592591</v>
      </c>
      <c r="E15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24" t="s">
        <v>2</v>
      </c>
      <c r="G1524" s="2">
        <v>23.02</v>
      </c>
    </row>
    <row r="1525" spans="1:7" x14ac:dyDescent="0.25">
      <c r="A15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240920-LAT002</v>
      </c>
      <c r="B1525" s="1" t="str">
        <f>TEXT(Coffee_sales_clean[[#This Row],[Transaction Date]],"dddd")</f>
        <v>Friday</v>
      </c>
      <c r="C1525" s="12">
        <v>45555</v>
      </c>
      <c r="D1525" s="4">
        <v>0.89695115740740738</v>
      </c>
      <c r="E15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25" t="s">
        <v>3</v>
      </c>
      <c r="G1525" s="2">
        <v>27.92</v>
      </c>
    </row>
    <row r="1526" spans="1:7" x14ac:dyDescent="0.25">
      <c r="A15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240920-LAT003</v>
      </c>
      <c r="B1526" s="1" t="str">
        <f>TEXT(Coffee_sales_clean[[#This Row],[Transaction Date]],"dddd")</f>
        <v>Friday</v>
      </c>
      <c r="C1526" s="12">
        <v>45555</v>
      </c>
      <c r="D1526" s="4">
        <v>0.89772019675925929</v>
      </c>
      <c r="E15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26" t="s">
        <v>3</v>
      </c>
      <c r="G1526" s="2">
        <v>27.92</v>
      </c>
    </row>
    <row r="1527" spans="1:7" x14ac:dyDescent="0.25">
      <c r="A15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240921-LUN001</v>
      </c>
      <c r="B1527" s="1" t="str">
        <f>TEXT(Coffee_sales_clean[[#This Row],[Transaction Date]],"dddd")</f>
        <v>Saturday</v>
      </c>
      <c r="C1527" s="12">
        <v>45556</v>
      </c>
      <c r="D1527" s="4">
        <v>0.45920078703703704</v>
      </c>
      <c r="E15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27" t="s">
        <v>0</v>
      </c>
      <c r="G1527" s="2">
        <v>32.82</v>
      </c>
    </row>
    <row r="1528" spans="1:7" x14ac:dyDescent="0.25">
      <c r="A15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240921-LUN002</v>
      </c>
      <c r="B1528" s="1" t="str">
        <f>TEXT(Coffee_sales_clean[[#This Row],[Transaction Date]],"dddd")</f>
        <v>Saturday</v>
      </c>
      <c r="C1528" s="12">
        <v>45556</v>
      </c>
      <c r="D1528" s="4">
        <v>0.45988196759259259</v>
      </c>
      <c r="E15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28" t="s">
        <v>4</v>
      </c>
      <c r="G1528" s="2">
        <v>32.82</v>
      </c>
    </row>
    <row r="1529" spans="1:7" x14ac:dyDescent="0.25">
      <c r="A15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240921-LUN003</v>
      </c>
      <c r="B1529" s="1" t="str">
        <f>TEXT(Coffee_sales_clean[[#This Row],[Transaction Date]],"dddd")</f>
        <v>Saturday</v>
      </c>
      <c r="C1529" s="12">
        <v>45556</v>
      </c>
      <c r="D1529" s="4">
        <v>0.48457457175925928</v>
      </c>
      <c r="E15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29" t="s">
        <v>5</v>
      </c>
      <c r="G1529" s="2">
        <v>23.02</v>
      </c>
    </row>
    <row r="1530" spans="1:7" x14ac:dyDescent="0.25">
      <c r="A15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240921-LUN004</v>
      </c>
      <c r="B1530" s="1" t="str">
        <f>TEXT(Coffee_sales_clean[[#This Row],[Transaction Date]],"dddd")</f>
        <v>Saturday</v>
      </c>
      <c r="C1530" s="12">
        <v>45556</v>
      </c>
      <c r="D1530" s="4">
        <v>0.48524302083333332</v>
      </c>
      <c r="E15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30" t="s">
        <v>5</v>
      </c>
      <c r="G1530" s="2">
        <v>23.02</v>
      </c>
    </row>
    <row r="1531" spans="1:7" x14ac:dyDescent="0.25">
      <c r="A15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240921-AFT001</v>
      </c>
      <c r="B1531" s="1" t="str">
        <f>TEXT(Coffee_sales_clean[[#This Row],[Transaction Date]],"dddd")</f>
        <v>Saturday</v>
      </c>
      <c r="C1531" s="12">
        <v>45556</v>
      </c>
      <c r="D1531" s="4">
        <v>0.63205287037037039</v>
      </c>
      <c r="E15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31" t="s">
        <v>7</v>
      </c>
      <c r="G1531" s="2">
        <v>32.82</v>
      </c>
    </row>
    <row r="1532" spans="1:7" x14ac:dyDescent="0.25">
      <c r="A15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240921-AFT002</v>
      </c>
      <c r="B1532" s="1" t="str">
        <f>TEXT(Coffee_sales_clean[[#This Row],[Transaction Date]],"dddd")</f>
        <v>Saturday</v>
      </c>
      <c r="C1532" s="12">
        <v>45556</v>
      </c>
      <c r="D1532" s="4">
        <v>0.65015751157407409</v>
      </c>
      <c r="E15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32" t="s">
        <v>0</v>
      </c>
      <c r="G1532" s="2">
        <v>32.82</v>
      </c>
    </row>
    <row r="1533" spans="1:7" x14ac:dyDescent="0.25">
      <c r="A15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240921-EVE001</v>
      </c>
      <c r="B1533" s="1" t="str">
        <f>TEXT(Coffee_sales_clean[[#This Row],[Transaction Date]],"dddd")</f>
        <v>Saturday</v>
      </c>
      <c r="C1533" s="12">
        <v>45556</v>
      </c>
      <c r="D1533" s="4">
        <v>0.76144329861111115</v>
      </c>
      <c r="E15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33" t="s">
        <v>0</v>
      </c>
      <c r="G1533" s="2">
        <v>32.82</v>
      </c>
    </row>
    <row r="1534" spans="1:7" x14ac:dyDescent="0.25">
      <c r="A15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240921-EVE002</v>
      </c>
      <c r="B1534" s="1" t="str">
        <f>TEXT(Coffee_sales_clean[[#This Row],[Transaction Date]],"dddd")</f>
        <v>Saturday</v>
      </c>
      <c r="C1534" s="12">
        <v>45556</v>
      </c>
      <c r="D1534" s="4">
        <v>0.76216071759259263</v>
      </c>
      <c r="E15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34" t="s">
        <v>0</v>
      </c>
      <c r="G1534" s="2">
        <v>32.82</v>
      </c>
    </row>
    <row r="1535" spans="1:7" x14ac:dyDescent="0.25">
      <c r="A15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240921-LAT001</v>
      </c>
      <c r="B1535" s="1" t="str">
        <f>TEXT(Coffee_sales_clean[[#This Row],[Transaction Date]],"dddd")</f>
        <v>Saturday</v>
      </c>
      <c r="C1535" s="12">
        <v>45556</v>
      </c>
      <c r="D1535" s="4">
        <v>0.85396920138888888</v>
      </c>
      <c r="E15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35" t="s">
        <v>2</v>
      </c>
      <c r="G1535" s="2">
        <v>23.02</v>
      </c>
    </row>
    <row r="1536" spans="1:7" x14ac:dyDescent="0.25">
      <c r="A15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240921-LAT002</v>
      </c>
      <c r="B1536" s="1" t="str">
        <f>TEXT(Coffee_sales_clean[[#This Row],[Transaction Date]],"dddd")</f>
        <v>Saturday</v>
      </c>
      <c r="C1536" s="12">
        <v>45556</v>
      </c>
      <c r="D1536" s="4">
        <v>0.85461668981481487</v>
      </c>
      <c r="E15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36" t="s">
        <v>2</v>
      </c>
      <c r="G1536" s="2">
        <v>23.02</v>
      </c>
    </row>
    <row r="1537" spans="1:7" x14ac:dyDescent="0.25">
      <c r="A15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240921-LAT003</v>
      </c>
      <c r="B1537" s="1" t="str">
        <f>TEXT(Coffee_sales_clean[[#This Row],[Transaction Date]],"dddd")</f>
        <v>Saturday</v>
      </c>
      <c r="C1537" s="12">
        <v>45556</v>
      </c>
      <c r="D1537" s="4">
        <v>0.85692332175925923</v>
      </c>
      <c r="E15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37" t="s">
        <v>0</v>
      </c>
      <c r="G1537" s="2">
        <v>32.82</v>
      </c>
    </row>
    <row r="1538" spans="1:7" x14ac:dyDescent="0.25">
      <c r="A15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240921-LAT004</v>
      </c>
      <c r="B1538" s="1" t="str">
        <f>TEXT(Coffee_sales_clean[[#This Row],[Transaction Date]],"dddd")</f>
        <v>Saturday</v>
      </c>
      <c r="C1538" s="12">
        <v>45556</v>
      </c>
      <c r="D1538" s="4">
        <v>0.85798806712962961</v>
      </c>
      <c r="E15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38" t="s">
        <v>0</v>
      </c>
      <c r="G1538" s="2">
        <v>32.82</v>
      </c>
    </row>
    <row r="1539" spans="1:7" x14ac:dyDescent="0.25">
      <c r="A15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240921-LAT005</v>
      </c>
      <c r="B1539" s="1" t="str">
        <f>TEXT(Coffee_sales_clean[[#This Row],[Transaction Date]],"dddd")</f>
        <v>Saturday</v>
      </c>
      <c r="C1539" s="12">
        <v>45556</v>
      </c>
      <c r="D1539" s="4">
        <v>0.92970009259259256</v>
      </c>
      <c r="E15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39" t="s">
        <v>3</v>
      </c>
      <c r="G1539" s="2">
        <v>27.92</v>
      </c>
    </row>
    <row r="1540" spans="1:7" x14ac:dyDescent="0.25">
      <c r="A15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240921-LAT006</v>
      </c>
      <c r="B1540" s="1" t="str">
        <f>TEXT(Coffee_sales_clean[[#This Row],[Transaction Date]],"dddd")</f>
        <v>Saturday</v>
      </c>
      <c r="C1540" s="12">
        <v>45556</v>
      </c>
      <c r="D1540" s="4">
        <v>0.93044129629629635</v>
      </c>
      <c r="E15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40" t="s">
        <v>2</v>
      </c>
      <c r="G1540" s="2">
        <v>23.02</v>
      </c>
    </row>
    <row r="1541" spans="1:7" x14ac:dyDescent="0.25">
      <c r="A15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240921-LAT007</v>
      </c>
      <c r="B1541" s="1" t="str">
        <f>TEXT(Coffee_sales_clean[[#This Row],[Transaction Date]],"dddd")</f>
        <v>Saturday</v>
      </c>
      <c r="C1541" s="12">
        <v>45556</v>
      </c>
      <c r="D1541" s="4">
        <v>0.93111527777777781</v>
      </c>
      <c r="E15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41" t="s">
        <v>2</v>
      </c>
      <c r="G1541" s="2">
        <v>23.02</v>
      </c>
    </row>
    <row r="1542" spans="1:7" x14ac:dyDescent="0.25">
      <c r="A15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240922-MOR001</v>
      </c>
      <c r="B1542" s="1" t="str">
        <f>TEXT(Coffee_sales_clean[[#This Row],[Transaction Date]],"dddd")</f>
        <v>Sunday</v>
      </c>
      <c r="C1542" s="12">
        <v>45557</v>
      </c>
      <c r="D1542" s="4">
        <v>0.35618254629629631</v>
      </c>
      <c r="E15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42" t="s">
        <v>2</v>
      </c>
      <c r="G1542" s="2">
        <v>23.02</v>
      </c>
    </row>
    <row r="1543" spans="1:7" x14ac:dyDescent="0.25">
      <c r="A15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240922-MOR002</v>
      </c>
      <c r="B1543" s="1" t="str">
        <f>TEXT(Coffee_sales_clean[[#This Row],[Transaction Date]],"dddd")</f>
        <v>Sunday</v>
      </c>
      <c r="C1543" s="12">
        <v>45557</v>
      </c>
      <c r="D1543" s="4">
        <v>0.42511300925925927</v>
      </c>
      <c r="E15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43" t="s">
        <v>3</v>
      </c>
      <c r="G1543" s="2">
        <v>27.92</v>
      </c>
    </row>
    <row r="1544" spans="1:7" x14ac:dyDescent="0.25">
      <c r="A15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240922-MOR003</v>
      </c>
      <c r="B1544" s="1" t="str">
        <f>TEXT(Coffee_sales_clean[[#This Row],[Transaction Date]],"dddd")</f>
        <v>Sunday</v>
      </c>
      <c r="C1544" s="12">
        <v>45557</v>
      </c>
      <c r="D1544" s="4">
        <v>0.42579381944444444</v>
      </c>
      <c r="E15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44" t="s">
        <v>0</v>
      </c>
      <c r="G1544" s="2">
        <v>32.82</v>
      </c>
    </row>
    <row r="1545" spans="1:7" x14ac:dyDescent="0.25">
      <c r="A15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240922-LUN001</v>
      </c>
      <c r="B1545" s="1" t="str">
        <f>TEXT(Coffee_sales_clean[[#This Row],[Transaction Date]],"dddd")</f>
        <v>Sunday</v>
      </c>
      <c r="C1545" s="12">
        <v>45557</v>
      </c>
      <c r="D1545" s="4">
        <v>0.46280447916666667</v>
      </c>
      <c r="E15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45" t="s">
        <v>5</v>
      </c>
      <c r="G1545" s="2">
        <v>23.02</v>
      </c>
    </row>
    <row r="1546" spans="1:7" x14ac:dyDescent="0.25">
      <c r="A15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240922-LUN002</v>
      </c>
      <c r="B1546" s="1" t="str">
        <f>TEXT(Coffee_sales_clean[[#This Row],[Transaction Date]],"dddd")</f>
        <v>Sunday</v>
      </c>
      <c r="C1546" s="12">
        <v>45557</v>
      </c>
      <c r="D1546" s="4">
        <v>0.46361550925925926</v>
      </c>
      <c r="E15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46" t="s">
        <v>5</v>
      </c>
      <c r="G1546" s="2">
        <v>23.02</v>
      </c>
    </row>
    <row r="1547" spans="1:7" x14ac:dyDescent="0.25">
      <c r="A15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240922-LUN003</v>
      </c>
      <c r="B1547" s="1" t="str">
        <f>TEXT(Coffee_sales_clean[[#This Row],[Transaction Date]],"dddd")</f>
        <v>Sunday</v>
      </c>
      <c r="C1547" s="12">
        <v>45557</v>
      </c>
      <c r="D1547" s="4">
        <v>0.49444314814814816</v>
      </c>
      <c r="E15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47" t="s">
        <v>3</v>
      </c>
      <c r="G1547" s="2">
        <v>27.92</v>
      </c>
    </row>
    <row r="1548" spans="1:7" x14ac:dyDescent="0.25">
      <c r="A15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240922-LUN004</v>
      </c>
      <c r="B1548" s="1" t="str">
        <f>TEXT(Coffee_sales_clean[[#This Row],[Transaction Date]],"dddd")</f>
        <v>Sunday</v>
      </c>
      <c r="C1548" s="12">
        <v>45557</v>
      </c>
      <c r="D1548" s="4">
        <v>0.49667734953703702</v>
      </c>
      <c r="E15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48" t="s">
        <v>2</v>
      </c>
      <c r="G1548" s="2">
        <v>23.02</v>
      </c>
    </row>
    <row r="1549" spans="1:7" x14ac:dyDescent="0.25">
      <c r="A15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240922-LUN005</v>
      </c>
      <c r="B1549" s="1" t="str">
        <f>TEXT(Coffee_sales_clean[[#This Row],[Transaction Date]],"dddd")</f>
        <v>Sunday</v>
      </c>
      <c r="C1549" s="12">
        <v>45557</v>
      </c>
      <c r="D1549" s="4">
        <v>0.50510146990740745</v>
      </c>
      <c r="E15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49" t="s">
        <v>3</v>
      </c>
      <c r="G1549" s="2">
        <v>27.92</v>
      </c>
    </row>
    <row r="1550" spans="1:7" x14ac:dyDescent="0.25">
      <c r="A15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240922-LUN006</v>
      </c>
      <c r="B1550" s="1" t="str">
        <f>TEXT(Coffee_sales_clean[[#This Row],[Transaction Date]],"dddd")</f>
        <v>Sunday</v>
      </c>
      <c r="C1550" s="12">
        <v>45557</v>
      </c>
      <c r="D1550" s="4">
        <v>0.56128082175925931</v>
      </c>
      <c r="E15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50" t="s">
        <v>3</v>
      </c>
      <c r="G1550" s="2">
        <v>27.92</v>
      </c>
    </row>
    <row r="1551" spans="1:7" x14ac:dyDescent="0.25">
      <c r="A15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240922-LUN007</v>
      </c>
      <c r="B1551" s="1" t="str">
        <f>TEXT(Coffee_sales_clean[[#This Row],[Transaction Date]],"dddd")</f>
        <v>Sunday</v>
      </c>
      <c r="C1551" s="12">
        <v>45557</v>
      </c>
      <c r="D1551" s="4">
        <v>0.56222126157407404</v>
      </c>
      <c r="E15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51" t="s">
        <v>3</v>
      </c>
      <c r="G1551" s="2">
        <v>27.92</v>
      </c>
    </row>
    <row r="1552" spans="1:7" x14ac:dyDescent="0.25">
      <c r="A15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240922-LUN008</v>
      </c>
      <c r="B1552" s="1" t="str">
        <f>TEXT(Coffee_sales_clean[[#This Row],[Transaction Date]],"dddd")</f>
        <v>Sunday</v>
      </c>
      <c r="C1552" s="12">
        <v>45557</v>
      </c>
      <c r="D1552" s="4">
        <v>0.56498334490740743</v>
      </c>
      <c r="E15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52" t="s">
        <v>3</v>
      </c>
      <c r="G1552" s="2">
        <v>27.92</v>
      </c>
    </row>
    <row r="1553" spans="1:7" x14ac:dyDescent="0.25">
      <c r="A15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240922-AFT001</v>
      </c>
      <c r="B1553" s="1" t="str">
        <f>TEXT(Coffee_sales_clean[[#This Row],[Transaction Date]],"dddd")</f>
        <v>Sunday</v>
      </c>
      <c r="C1553" s="12">
        <v>45557</v>
      </c>
      <c r="D1553" s="4">
        <v>0.64872799768518519</v>
      </c>
      <c r="E15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53" t="s">
        <v>0</v>
      </c>
      <c r="G1553" s="2">
        <v>32.82</v>
      </c>
    </row>
    <row r="1554" spans="1:7" x14ac:dyDescent="0.25">
      <c r="A15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240922-AFT002</v>
      </c>
      <c r="B1554" s="1" t="str">
        <f>TEXT(Coffee_sales_clean[[#This Row],[Transaction Date]],"dddd")</f>
        <v>Sunday</v>
      </c>
      <c r="C1554" s="12">
        <v>45557</v>
      </c>
      <c r="D1554" s="4">
        <v>0.64958604166666667</v>
      </c>
      <c r="E15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54" t="s">
        <v>3</v>
      </c>
      <c r="G1554" s="2">
        <v>27.92</v>
      </c>
    </row>
    <row r="1555" spans="1:7" x14ac:dyDescent="0.25">
      <c r="A15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240922-AFT003</v>
      </c>
      <c r="B1555" s="1" t="str">
        <f>TEXT(Coffee_sales_clean[[#This Row],[Transaction Date]],"dddd")</f>
        <v>Sunday</v>
      </c>
      <c r="C1555" s="12">
        <v>45557</v>
      </c>
      <c r="D1555" s="4">
        <v>0.68406791666666666</v>
      </c>
      <c r="E15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55" t="s">
        <v>4</v>
      </c>
      <c r="G1555" s="2">
        <v>32.82</v>
      </c>
    </row>
    <row r="1556" spans="1:7" x14ac:dyDescent="0.25">
      <c r="A15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240922-LAT001</v>
      </c>
      <c r="B1556" s="1" t="str">
        <f>TEXT(Coffee_sales_clean[[#This Row],[Transaction Date]],"dddd")</f>
        <v>Sunday</v>
      </c>
      <c r="C1556" s="12">
        <v>45557</v>
      </c>
      <c r="D1556" s="4">
        <v>0.8466444675925926</v>
      </c>
      <c r="E15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56" t="s">
        <v>0</v>
      </c>
      <c r="G1556" s="2">
        <v>32.82</v>
      </c>
    </row>
    <row r="1557" spans="1:7" x14ac:dyDescent="0.25">
      <c r="A15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240922-LAT002</v>
      </c>
      <c r="B1557" s="1" t="str">
        <f>TEXT(Coffee_sales_clean[[#This Row],[Transaction Date]],"dddd")</f>
        <v>Sunday</v>
      </c>
      <c r="C1557" s="12">
        <v>45557</v>
      </c>
      <c r="D1557" s="4">
        <v>0.84763413194444448</v>
      </c>
      <c r="E15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57" t="s">
        <v>7</v>
      </c>
      <c r="G1557" s="2">
        <v>32.82</v>
      </c>
    </row>
    <row r="1558" spans="1:7" x14ac:dyDescent="0.25">
      <c r="A15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240922-LAT003</v>
      </c>
      <c r="B1558" s="1" t="str">
        <f>TEXT(Coffee_sales_clean[[#This Row],[Transaction Date]],"dddd")</f>
        <v>Sunday</v>
      </c>
      <c r="C1558" s="12">
        <v>45557</v>
      </c>
      <c r="D1558" s="4">
        <v>0.86558111111111113</v>
      </c>
      <c r="E15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58" t="s">
        <v>3</v>
      </c>
      <c r="G1558" s="2">
        <v>27.92</v>
      </c>
    </row>
    <row r="1559" spans="1:7" x14ac:dyDescent="0.25">
      <c r="A15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240922-LAT004</v>
      </c>
      <c r="B1559" s="1" t="str">
        <f>TEXT(Coffee_sales_clean[[#This Row],[Transaction Date]],"dddd")</f>
        <v>Sunday</v>
      </c>
      <c r="C1559" s="12">
        <v>45557</v>
      </c>
      <c r="D1559" s="4">
        <v>0.86637842592592595</v>
      </c>
      <c r="E15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59" t="s">
        <v>3</v>
      </c>
      <c r="G1559" s="2">
        <v>27.92</v>
      </c>
    </row>
    <row r="1560" spans="1:7" x14ac:dyDescent="0.25">
      <c r="A15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240922-LAT005</v>
      </c>
      <c r="B1560" s="1" t="str">
        <f>TEXT(Coffee_sales_clean[[#This Row],[Transaction Date]],"dddd")</f>
        <v>Sunday</v>
      </c>
      <c r="C1560" s="12">
        <v>45557</v>
      </c>
      <c r="D1560" s="4">
        <v>0.87991659722222226</v>
      </c>
      <c r="E15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60" t="s">
        <v>3</v>
      </c>
      <c r="G1560" s="2">
        <v>27.92</v>
      </c>
    </row>
    <row r="1561" spans="1:7" x14ac:dyDescent="0.25">
      <c r="A15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240922-LAT006</v>
      </c>
      <c r="B1561" s="1" t="str">
        <f>TEXT(Coffee_sales_clean[[#This Row],[Transaction Date]],"dddd")</f>
        <v>Sunday</v>
      </c>
      <c r="C1561" s="12">
        <v>45557</v>
      </c>
      <c r="D1561" s="4">
        <v>0.88072682870370367</v>
      </c>
      <c r="E15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61" t="s">
        <v>3</v>
      </c>
      <c r="G1561" s="2">
        <v>27.92</v>
      </c>
    </row>
    <row r="1562" spans="1:7" x14ac:dyDescent="0.25">
      <c r="A15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240922-LAT007</v>
      </c>
      <c r="B1562" s="1" t="str">
        <f>TEXT(Coffee_sales_clean[[#This Row],[Transaction Date]],"dddd")</f>
        <v>Sunday</v>
      </c>
      <c r="C1562" s="12">
        <v>45557</v>
      </c>
      <c r="D1562" s="4">
        <v>0.91254743055555554</v>
      </c>
      <c r="E15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62" t="s">
        <v>1</v>
      </c>
      <c r="G1562" s="2">
        <v>32.82</v>
      </c>
    </row>
    <row r="1563" spans="1:7" x14ac:dyDescent="0.25">
      <c r="A15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240922-LAT008</v>
      </c>
      <c r="B1563" s="1" t="str">
        <f>TEXT(Coffee_sales_clean[[#This Row],[Transaction Date]],"dddd")</f>
        <v>Sunday</v>
      </c>
      <c r="C1563" s="12">
        <v>45557</v>
      </c>
      <c r="D1563" s="4">
        <v>0.91313075231481478</v>
      </c>
      <c r="E15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63" t="s">
        <v>1</v>
      </c>
      <c r="G1563" s="2">
        <v>32.82</v>
      </c>
    </row>
    <row r="1564" spans="1:7" x14ac:dyDescent="0.25">
      <c r="A15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240922-LAT009</v>
      </c>
      <c r="B1564" s="1" t="str">
        <f>TEXT(Coffee_sales_clean[[#This Row],[Transaction Date]],"dddd")</f>
        <v>Sunday</v>
      </c>
      <c r="C1564" s="12">
        <v>45557</v>
      </c>
      <c r="D1564" s="4">
        <v>0.94238870370370376</v>
      </c>
      <c r="E15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64" t="s">
        <v>2</v>
      </c>
      <c r="G1564" s="2">
        <v>23.02</v>
      </c>
    </row>
    <row r="1565" spans="1:7" x14ac:dyDescent="0.25">
      <c r="A15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240922-LAT010</v>
      </c>
      <c r="B1565" s="1" t="str">
        <f>TEXT(Coffee_sales_clean[[#This Row],[Transaction Date]],"dddd")</f>
        <v>Sunday</v>
      </c>
      <c r="C1565" s="12">
        <v>45557</v>
      </c>
      <c r="D1565" s="4">
        <v>0.94303710648148154</v>
      </c>
      <c r="E15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65" t="s">
        <v>3</v>
      </c>
      <c r="G1565" s="2">
        <v>27.92</v>
      </c>
    </row>
    <row r="1566" spans="1:7" x14ac:dyDescent="0.25">
      <c r="A15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240923-MOR001</v>
      </c>
      <c r="B1566" s="1" t="str">
        <f>TEXT(Coffee_sales_clean[[#This Row],[Transaction Date]],"dddd")</f>
        <v>Monday</v>
      </c>
      <c r="C1566" s="12">
        <v>45558</v>
      </c>
      <c r="D1566" s="4">
        <v>0.37751104166666666</v>
      </c>
      <c r="E15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66" t="s">
        <v>3</v>
      </c>
      <c r="G1566" s="2">
        <v>27.92</v>
      </c>
    </row>
    <row r="1567" spans="1:7" x14ac:dyDescent="0.25">
      <c r="A15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240923-MOR002</v>
      </c>
      <c r="B1567" s="1" t="str">
        <f>TEXT(Coffee_sales_clean[[#This Row],[Transaction Date]],"dddd")</f>
        <v>Monday</v>
      </c>
      <c r="C1567" s="12">
        <v>45558</v>
      </c>
      <c r="D1567" s="4">
        <v>0.41964430555555554</v>
      </c>
      <c r="E15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67" t="s">
        <v>5</v>
      </c>
      <c r="G1567" s="2">
        <v>23.02</v>
      </c>
    </row>
    <row r="1568" spans="1:7" x14ac:dyDescent="0.25">
      <c r="A15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240923-LUN001</v>
      </c>
      <c r="B1568" s="1" t="str">
        <f>TEXT(Coffee_sales_clean[[#This Row],[Transaction Date]],"dddd")</f>
        <v>Monday</v>
      </c>
      <c r="C1568" s="12">
        <v>45558</v>
      </c>
      <c r="D1568" s="4">
        <v>0.50768925925925923</v>
      </c>
      <c r="E15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68" t="s">
        <v>2</v>
      </c>
      <c r="G1568" s="2">
        <v>23.02</v>
      </c>
    </row>
    <row r="1569" spans="1:7" x14ac:dyDescent="0.25">
      <c r="A15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240923-AFT001</v>
      </c>
      <c r="B1569" s="1" t="str">
        <f>TEXT(Coffee_sales_clean[[#This Row],[Transaction Date]],"dddd")</f>
        <v>Monday</v>
      </c>
      <c r="C1569" s="12">
        <v>45558</v>
      </c>
      <c r="D1569" s="4">
        <v>0.58949011574074073</v>
      </c>
      <c r="E15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69" t="s">
        <v>3</v>
      </c>
      <c r="G1569" s="2">
        <v>27.92</v>
      </c>
    </row>
    <row r="1570" spans="1:7" x14ac:dyDescent="0.25">
      <c r="A15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240923-EVE001</v>
      </c>
      <c r="B1570" s="1" t="str">
        <f>TEXT(Coffee_sales_clean[[#This Row],[Transaction Date]],"dddd")</f>
        <v>Monday</v>
      </c>
      <c r="C1570" s="12">
        <v>45558</v>
      </c>
      <c r="D1570" s="4">
        <v>0.72763415509259255</v>
      </c>
      <c r="E15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70" t="s">
        <v>7</v>
      </c>
      <c r="G1570" s="2">
        <v>32.82</v>
      </c>
    </row>
    <row r="1571" spans="1:7" x14ac:dyDescent="0.25">
      <c r="A15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240923-EVE002</v>
      </c>
      <c r="B1571" s="1" t="str">
        <f>TEXT(Coffee_sales_clean[[#This Row],[Transaction Date]],"dddd")</f>
        <v>Monday</v>
      </c>
      <c r="C1571" s="12">
        <v>45558</v>
      </c>
      <c r="D1571" s="4">
        <v>0.78368560185185188</v>
      </c>
      <c r="E15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71" t="s">
        <v>2</v>
      </c>
      <c r="G1571" s="2">
        <v>23.02</v>
      </c>
    </row>
    <row r="1572" spans="1:7" x14ac:dyDescent="0.25">
      <c r="A15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240923-EVE003</v>
      </c>
      <c r="B1572" s="1" t="str">
        <f>TEXT(Coffee_sales_clean[[#This Row],[Transaction Date]],"dddd")</f>
        <v>Monday</v>
      </c>
      <c r="C1572" s="12">
        <v>45558</v>
      </c>
      <c r="D1572" s="4">
        <v>0.82455960648148152</v>
      </c>
      <c r="E15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72" t="s">
        <v>0</v>
      </c>
      <c r="G1572" s="2">
        <v>32.82</v>
      </c>
    </row>
    <row r="1573" spans="1:7" x14ac:dyDescent="0.25">
      <c r="A15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240923-LAT001</v>
      </c>
      <c r="B1573" s="1" t="str">
        <f>TEXT(Coffee_sales_clean[[#This Row],[Transaction Date]],"dddd")</f>
        <v>Monday</v>
      </c>
      <c r="C1573" s="12">
        <v>45558</v>
      </c>
      <c r="D1573" s="4">
        <v>0.84011420138888893</v>
      </c>
      <c r="E15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73" t="s">
        <v>7</v>
      </c>
      <c r="G1573" s="2">
        <v>32.82</v>
      </c>
    </row>
    <row r="1574" spans="1:7" x14ac:dyDescent="0.25">
      <c r="A15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240923-LAT002</v>
      </c>
      <c r="B1574" s="1" t="str">
        <f>TEXT(Coffee_sales_clean[[#This Row],[Transaction Date]],"dddd")</f>
        <v>Monday</v>
      </c>
      <c r="C1574" s="12">
        <v>45558</v>
      </c>
      <c r="D1574" s="4">
        <v>0.92604760416666665</v>
      </c>
      <c r="E15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74" t="s">
        <v>3</v>
      </c>
      <c r="G1574" s="2">
        <v>27.92</v>
      </c>
    </row>
    <row r="1575" spans="1:7" x14ac:dyDescent="0.25">
      <c r="A15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240923-LAT003</v>
      </c>
      <c r="B1575" s="1" t="str">
        <f>TEXT(Coffee_sales_clean[[#This Row],[Transaction Date]],"dddd")</f>
        <v>Monday</v>
      </c>
      <c r="C1575" s="12">
        <v>45558</v>
      </c>
      <c r="D1575" s="4">
        <v>0.92725645833333337</v>
      </c>
      <c r="E15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75" t="s">
        <v>3</v>
      </c>
      <c r="G1575" s="2">
        <v>27.92</v>
      </c>
    </row>
    <row r="1576" spans="1:7" x14ac:dyDescent="0.25">
      <c r="A15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240924-MOR001</v>
      </c>
      <c r="B1576" s="1" t="str">
        <f>TEXT(Coffee_sales_clean[[#This Row],[Transaction Date]],"dddd")</f>
        <v>Tuesday</v>
      </c>
      <c r="C1576" s="12">
        <v>45559</v>
      </c>
      <c r="D1576" s="4">
        <v>0.35662746527777778</v>
      </c>
      <c r="E15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76" t="s">
        <v>3</v>
      </c>
      <c r="G1576" s="2">
        <v>27.92</v>
      </c>
    </row>
    <row r="1577" spans="1:7" x14ac:dyDescent="0.25">
      <c r="A15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240924-LUN001</v>
      </c>
      <c r="B1577" s="1" t="str">
        <f>TEXT(Coffee_sales_clean[[#This Row],[Transaction Date]],"dddd")</f>
        <v>Tuesday</v>
      </c>
      <c r="C1577" s="12">
        <v>45559</v>
      </c>
      <c r="D1577" s="4">
        <v>0.51663151620370373</v>
      </c>
      <c r="E15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77" t="s">
        <v>0</v>
      </c>
      <c r="G1577" s="2">
        <v>32.82</v>
      </c>
    </row>
    <row r="1578" spans="1:7" x14ac:dyDescent="0.25">
      <c r="A15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240924-LUN002</v>
      </c>
      <c r="B1578" s="1" t="str">
        <f>TEXT(Coffee_sales_clean[[#This Row],[Transaction Date]],"dddd")</f>
        <v>Tuesday</v>
      </c>
      <c r="C1578" s="12">
        <v>45559</v>
      </c>
      <c r="D1578" s="4">
        <v>0.51730034722222218</v>
      </c>
      <c r="E15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78" t="s">
        <v>0</v>
      </c>
      <c r="G1578" s="2">
        <v>32.82</v>
      </c>
    </row>
    <row r="1579" spans="1:7" x14ac:dyDescent="0.25">
      <c r="A15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240924-LUN003</v>
      </c>
      <c r="B1579" s="1" t="str">
        <f>TEXT(Coffee_sales_clean[[#This Row],[Transaction Date]],"dddd")</f>
        <v>Tuesday</v>
      </c>
      <c r="C1579" s="12">
        <v>45559</v>
      </c>
      <c r="D1579" s="4">
        <v>0.53245836805555558</v>
      </c>
      <c r="E15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79" t="s">
        <v>0</v>
      </c>
      <c r="G1579" s="2">
        <v>32.82</v>
      </c>
    </row>
    <row r="1580" spans="1:7" x14ac:dyDescent="0.25">
      <c r="A15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240924-LUN004</v>
      </c>
      <c r="B1580" s="1" t="str">
        <f>TEXT(Coffee_sales_clean[[#This Row],[Transaction Date]],"dddd")</f>
        <v>Tuesday</v>
      </c>
      <c r="C1580" s="12">
        <v>45559</v>
      </c>
      <c r="D1580" s="4">
        <v>0.53321092592592589</v>
      </c>
      <c r="E15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80" t="s">
        <v>0</v>
      </c>
      <c r="G1580" s="2">
        <v>32.82</v>
      </c>
    </row>
    <row r="1581" spans="1:7" x14ac:dyDescent="0.25">
      <c r="A15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240924-AFT001</v>
      </c>
      <c r="B1581" s="1" t="str">
        <f>TEXT(Coffee_sales_clean[[#This Row],[Transaction Date]],"dddd")</f>
        <v>Tuesday</v>
      </c>
      <c r="C1581" s="12">
        <v>45559</v>
      </c>
      <c r="D1581" s="4">
        <v>0.5914275347222222</v>
      </c>
      <c r="E15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81" t="s">
        <v>0</v>
      </c>
      <c r="G1581" s="2">
        <v>32.82</v>
      </c>
    </row>
    <row r="1582" spans="1:7" x14ac:dyDescent="0.25">
      <c r="A15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240924-AFT002</v>
      </c>
      <c r="B1582" s="1" t="str">
        <f>TEXT(Coffee_sales_clean[[#This Row],[Transaction Date]],"dddd")</f>
        <v>Tuesday</v>
      </c>
      <c r="C1582" s="12">
        <v>45559</v>
      </c>
      <c r="D1582" s="4">
        <v>0.60519376157407412</v>
      </c>
      <c r="E15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82" t="s">
        <v>5</v>
      </c>
      <c r="G1582" s="2">
        <v>23.02</v>
      </c>
    </row>
    <row r="1583" spans="1:7" x14ac:dyDescent="0.25">
      <c r="A15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240924-AFT003</v>
      </c>
      <c r="B1583" s="1" t="str">
        <f>TEXT(Coffee_sales_clean[[#This Row],[Transaction Date]],"dddd")</f>
        <v>Tuesday</v>
      </c>
      <c r="C1583" s="12">
        <v>45559</v>
      </c>
      <c r="D1583" s="4">
        <v>0.65096872685185181</v>
      </c>
      <c r="E15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83" t="s">
        <v>7</v>
      </c>
      <c r="G1583" s="2">
        <v>32.82</v>
      </c>
    </row>
    <row r="1584" spans="1:7" x14ac:dyDescent="0.25">
      <c r="A15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240924-AFT004</v>
      </c>
      <c r="B1584" s="1" t="str">
        <f>TEXT(Coffee_sales_clean[[#This Row],[Transaction Date]],"dddd")</f>
        <v>Tuesday</v>
      </c>
      <c r="C1584" s="12">
        <v>45559</v>
      </c>
      <c r="D1584" s="4">
        <v>0.69361453703703702</v>
      </c>
      <c r="E15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584" t="s">
        <v>0</v>
      </c>
      <c r="G1584" s="2">
        <v>32.82</v>
      </c>
    </row>
    <row r="1585" spans="1:7" x14ac:dyDescent="0.25">
      <c r="A15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240924-EVE001</v>
      </c>
      <c r="B1585" s="1" t="str">
        <f>TEXT(Coffee_sales_clean[[#This Row],[Transaction Date]],"dddd")</f>
        <v>Tuesday</v>
      </c>
      <c r="C1585" s="12">
        <v>45559</v>
      </c>
      <c r="D1585" s="4">
        <v>0.77989508101851857</v>
      </c>
      <c r="E15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85" t="s">
        <v>2</v>
      </c>
      <c r="G1585" s="2">
        <v>23.02</v>
      </c>
    </row>
    <row r="1586" spans="1:7" x14ac:dyDescent="0.25">
      <c r="A15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240924-EVE002</v>
      </c>
      <c r="B1586" s="1" t="str">
        <f>TEXT(Coffee_sales_clean[[#This Row],[Transaction Date]],"dddd")</f>
        <v>Tuesday</v>
      </c>
      <c r="C1586" s="12">
        <v>45559</v>
      </c>
      <c r="D1586" s="4">
        <v>0.78048706018518521</v>
      </c>
      <c r="E15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86" t="s">
        <v>2</v>
      </c>
      <c r="G1586" s="2">
        <v>23.02</v>
      </c>
    </row>
    <row r="1587" spans="1:7" x14ac:dyDescent="0.25">
      <c r="A15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240924-LAT001</v>
      </c>
      <c r="B1587" s="1" t="str">
        <f>TEXT(Coffee_sales_clean[[#This Row],[Transaction Date]],"dddd")</f>
        <v>Tuesday</v>
      </c>
      <c r="C1587" s="12">
        <v>45559</v>
      </c>
      <c r="D1587" s="4">
        <v>0.84433328703703703</v>
      </c>
      <c r="E15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87" t="s">
        <v>1</v>
      </c>
      <c r="G1587" s="2">
        <v>32.82</v>
      </c>
    </row>
    <row r="1588" spans="1:7" x14ac:dyDescent="0.25">
      <c r="A15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240924-LAT002</v>
      </c>
      <c r="B1588" s="1" t="str">
        <f>TEXT(Coffee_sales_clean[[#This Row],[Transaction Date]],"dddd")</f>
        <v>Tuesday</v>
      </c>
      <c r="C1588" s="12">
        <v>45559</v>
      </c>
      <c r="D1588" s="4">
        <v>0.87863645833333337</v>
      </c>
      <c r="E15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88" t="s">
        <v>0</v>
      </c>
      <c r="G1588" s="2">
        <v>32.82</v>
      </c>
    </row>
    <row r="1589" spans="1:7" x14ac:dyDescent="0.25">
      <c r="A15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240924-LAT003</v>
      </c>
      <c r="B1589" s="1" t="str">
        <f>TEXT(Coffee_sales_clean[[#This Row],[Transaction Date]],"dddd")</f>
        <v>Tuesday</v>
      </c>
      <c r="C1589" s="12">
        <v>45559</v>
      </c>
      <c r="D1589" s="4">
        <v>0.87954168981481484</v>
      </c>
      <c r="E15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89" t="s">
        <v>3</v>
      </c>
      <c r="G1589" s="2">
        <v>27.92</v>
      </c>
    </row>
    <row r="1590" spans="1:7" x14ac:dyDescent="0.25">
      <c r="A15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240924-LAT004</v>
      </c>
      <c r="B1590" s="1" t="str">
        <f>TEXT(Coffee_sales_clean[[#This Row],[Transaction Date]],"dddd")</f>
        <v>Tuesday</v>
      </c>
      <c r="C1590" s="12">
        <v>45559</v>
      </c>
      <c r="D1590" s="4">
        <v>0.88026579861111109</v>
      </c>
      <c r="E15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90" t="s">
        <v>3</v>
      </c>
      <c r="G1590" s="2">
        <v>27.92</v>
      </c>
    </row>
    <row r="1591" spans="1:7" x14ac:dyDescent="0.25">
      <c r="A15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240925-MOR001</v>
      </c>
      <c r="B1591" s="1" t="str">
        <f>TEXT(Coffee_sales_clean[[#This Row],[Transaction Date]],"dddd")</f>
        <v>Wednesday</v>
      </c>
      <c r="C1591" s="12">
        <v>45560</v>
      </c>
      <c r="D1591" s="4">
        <v>0.32732754629629629</v>
      </c>
      <c r="E15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591" t="s">
        <v>7</v>
      </c>
      <c r="G1591" s="2">
        <v>32.82</v>
      </c>
    </row>
    <row r="1592" spans="1:7" x14ac:dyDescent="0.25">
      <c r="A15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240925-LUN001</v>
      </c>
      <c r="B1592" s="1" t="str">
        <f>TEXT(Coffee_sales_clean[[#This Row],[Transaction Date]],"dddd")</f>
        <v>Wednesday</v>
      </c>
      <c r="C1592" s="12">
        <v>45560</v>
      </c>
      <c r="D1592" s="4">
        <v>0.48301542824074073</v>
      </c>
      <c r="E15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92" t="s">
        <v>5</v>
      </c>
      <c r="G1592" s="2">
        <v>23.02</v>
      </c>
    </row>
    <row r="1593" spans="1:7" x14ac:dyDescent="0.25">
      <c r="A15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240925-LUN002</v>
      </c>
      <c r="B1593" s="1" t="str">
        <f>TEXT(Coffee_sales_clean[[#This Row],[Transaction Date]],"dddd")</f>
        <v>Wednesday</v>
      </c>
      <c r="C1593" s="12">
        <v>45560</v>
      </c>
      <c r="D1593" s="4">
        <v>0.49392606481481482</v>
      </c>
      <c r="E15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93" t="s">
        <v>3</v>
      </c>
      <c r="G1593" s="2">
        <v>27.92</v>
      </c>
    </row>
    <row r="1594" spans="1:7" x14ac:dyDescent="0.25">
      <c r="A15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240925-LUN003</v>
      </c>
      <c r="B1594" s="1" t="str">
        <f>TEXT(Coffee_sales_clean[[#This Row],[Transaction Date]],"dddd")</f>
        <v>Wednesday</v>
      </c>
      <c r="C1594" s="12">
        <v>45560</v>
      </c>
      <c r="D1594" s="4">
        <v>0.49506216435185185</v>
      </c>
      <c r="E15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94" t="s">
        <v>0</v>
      </c>
      <c r="G1594" s="2">
        <v>32.82</v>
      </c>
    </row>
    <row r="1595" spans="1:7" x14ac:dyDescent="0.25">
      <c r="A15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240925-LUN004</v>
      </c>
      <c r="B1595" s="1" t="str">
        <f>TEXT(Coffee_sales_clean[[#This Row],[Transaction Date]],"dddd")</f>
        <v>Wednesday</v>
      </c>
      <c r="C1595" s="12">
        <v>45560</v>
      </c>
      <c r="D1595" s="4">
        <v>0.57976219907407411</v>
      </c>
      <c r="E15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95" t="s">
        <v>3</v>
      </c>
      <c r="G1595" s="2">
        <v>27.92</v>
      </c>
    </row>
    <row r="1596" spans="1:7" x14ac:dyDescent="0.25">
      <c r="A15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240925-LUN005</v>
      </c>
      <c r="B1596" s="1" t="str">
        <f>TEXT(Coffee_sales_clean[[#This Row],[Transaction Date]],"dddd")</f>
        <v>Wednesday</v>
      </c>
      <c r="C1596" s="12">
        <v>45560</v>
      </c>
      <c r="D1596" s="4">
        <v>0.58054696759259261</v>
      </c>
      <c r="E15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596" t="s">
        <v>3</v>
      </c>
      <c r="G1596" s="2">
        <v>27.92</v>
      </c>
    </row>
    <row r="1597" spans="1:7" x14ac:dyDescent="0.25">
      <c r="A15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240925-EVE001</v>
      </c>
      <c r="B1597" s="1" t="str">
        <f>TEXT(Coffee_sales_clean[[#This Row],[Transaction Date]],"dddd")</f>
        <v>Wednesday</v>
      </c>
      <c r="C1597" s="12">
        <v>45560</v>
      </c>
      <c r="D1597" s="4">
        <v>0.73376368055555552</v>
      </c>
      <c r="E15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97" t="s">
        <v>3</v>
      </c>
      <c r="G1597" s="2">
        <v>27.92</v>
      </c>
    </row>
    <row r="1598" spans="1:7" x14ac:dyDescent="0.25">
      <c r="A15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240925-EVE002</v>
      </c>
      <c r="B1598" s="1" t="str">
        <f>TEXT(Coffee_sales_clean[[#This Row],[Transaction Date]],"dddd")</f>
        <v>Wednesday</v>
      </c>
      <c r="C1598" s="12">
        <v>45560</v>
      </c>
      <c r="D1598" s="4">
        <v>0.73439629629629632</v>
      </c>
      <c r="E15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598" t="s">
        <v>3</v>
      </c>
      <c r="G1598" s="2">
        <v>27.92</v>
      </c>
    </row>
    <row r="1599" spans="1:7" x14ac:dyDescent="0.25">
      <c r="A15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240925-LAT001</v>
      </c>
      <c r="B1599" s="1" t="str">
        <f>TEXT(Coffee_sales_clean[[#This Row],[Transaction Date]],"dddd")</f>
        <v>Wednesday</v>
      </c>
      <c r="C1599" s="12">
        <v>45560</v>
      </c>
      <c r="D1599" s="4">
        <v>0.89908899305555556</v>
      </c>
      <c r="E15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599" t="s">
        <v>2</v>
      </c>
      <c r="G1599" s="2">
        <v>23.02</v>
      </c>
    </row>
    <row r="1600" spans="1:7" x14ac:dyDescent="0.25">
      <c r="A16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240925-LAT002</v>
      </c>
      <c r="B1600" s="1" t="str">
        <f>TEXT(Coffee_sales_clean[[#This Row],[Transaction Date]],"dddd")</f>
        <v>Wednesday</v>
      </c>
      <c r="C1600" s="12">
        <v>45560</v>
      </c>
      <c r="D1600" s="4">
        <v>0.92976567129629628</v>
      </c>
      <c r="E16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00" t="s">
        <v>3</v>
      </c>
      <c r="G1600" s="2">
        <v>27.92</v>
      </c>
    </row>
    <row r="1601" spans="1:7" x14ac:dyDescent="0.25">
      <c r="A16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240926-MOR001</v>
      </c>
      <c r="B1601" s="1" t="str">
        <f>TEXT(Coffee_sales_clean[[#This Row],[Transaction Date]],"dddd")</f>
        <v>Thursday</v>
      </c>
      <c r="C1601" s="12">
        <v>45561</v>
      </c>
      <c r="D1601" s="4">
        <v>0.36360010416666666</v>
      </c>
      <c r="E16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01" t="s">
        <v>0</v>
      </c>
      <c r="G1601" s="2">
        <v>32.82</v>
      </c>
    </row>
    <row r="1602" spans="1:7" x14ac:dyDescent="0.25">
      <c r="A16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240926-MOR002</v>
      </c>
      <c r="B1602" s="1" t="str">
        <f>TEXT(Coffee_sales_clean[[#This Row],[Transaction Date]],"dddd")</f>
        <v>Thursday</v>
      </c>
      <c r="C1602" s="12">
        <v>45561</v>
      </c>
      <c r="D1602" s="4">
        <v>0.44243616898148147</v>
      </c>
      <c r="E16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02" t="s">
        <v>3</v>
      </c>
      <c r="G1602" s="2">
        <v>27.92</v>
      </c>
    </row>
    <row r="1603" spans="1:7" x14ac:dyDescent="0.25">
      <c r="A16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240926-MOR003</v>
      </c>
      <c r="B1603" s="1" t="str">
        <f>TEXT(Coffee_sales_clean[[#This Row],[Transaction Date]],"dddd")</f>
        <v>Thursday</v>
      </c>
      <c r="C1603" s="12">
        <v>45561</v>
      </c>
      <c r="D1603" s="4">
        <v>0.45546767361111112</v>
      </c>
      <c r="E16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03" t="s">
        <v>6</v>
      </c>
      <c r="G1603" s="2">
        <v>18.12</v>
      </c>
    </row>
    <row r="1604" spans="1:7" x14ac:dyDescent="0.25">
      <c r="A16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240926-LUN001</v>
      </c>
      <c r="B1604" s="1" t="str">
        <f>TEXT(Coffee_sales_clean[[#This Row],[Transaction Date]],"dddd")</f>
        <v>Thursday</v>
      </c>
      <c r="C1604" s="12">
        <v>45561</v>
      </c>
      <c r="D1604" s="4">
        <v>0.48250660879629631</v>
      </c>
      <c r="E16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04" t="s">
        <v>7</v>
      </c>
      <c r="G1604" s="2">
        <v>32.82</v>
      </c>
    </row>
    <row r="1605" spans="1:7" x14ac:dyDescent="0.25">
      <c r="A16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240926-LUN002</v>
      </c>
      <c r="B1605" s="1" t="str">
        <f>TEXT(Coffee_sales_clean[[#This Row],[Transaction Date]],"dddd")</f>
        <v>Thursday</v>
      </c>
      <c r="C1605" s="12">
        <v>45561</v>
      </c>
      <c r="D1605" s="4">
        <v>0.53334916666666665</v>
      </c>
      <c r="E16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05" t="s">
        <v>0</v>
      </c>
      <c r="G1605" s="2">
        <v>32.82</v>
      </c>
    </row>
    <row r="1606" spans="1:7" x14ac:dyDescent="0.25">
      <c r="A16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240926-EVE001</v>
      </c>
      <c r="B1606" s="1" t="str">
        <f>TEXT(Coffee_sales_clean[[#This Row],[Transaction Date]],"dddd")</f>
        <v>Thursday</v>
      </c>
      <c r="C1606" s="12">
        <v>45561</v>
      </c>
      <c r="D1606" s="4">
        <v>0.76522839120370367</v>
      </c>
      <c r="E16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06" t="s">
        <v>0</v>
      </c>
      <c r="G1606" s="2">
        <v>32.82</v>
      </c>
    </row>
    <row r="1607" spans="1:7" x14ac:dyDescent="0.25">
      <c r="A16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240926-LAT001</v>
      </c>
      <c r="B1607" s="1" t="str">
        <f>TEXT(Coffee_sales_clean[[#This Row],[Transaction Date]],"dddd")</f>
        <v>Thursday</v>
      </c>
      <c r="C1607" s="12">
        <v>45561</v>
      </c>
      <c r="D1607" s="4">
        <v>0.94809121527777773</v>
      </c>
      <c r="E16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07" t="s">
        <v>0</v>
      </c>
      <c r="G1607" s="2">
        <v>32.82</v>
      </c>
    </row>
    <row r="1608" spans="1:7" x14ac:dyDescent="0.25">
      <c r="A16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240926-LAT002</v>
      </c>
      <c r="B1608" s="1" t="str">
        <f>TEXT(Coffee_sales_clean[[#This Row],[Transaction Date]],"dddd")</f>
        <v>Thursday</v>
      </c>
      <c r="C1608" s="12">
        <v>45561</v>
      </c>
      <c r="D1608" s="4">
        <v>0.94881524305555554</v>
      </c>
      <c r="E16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08" t="s">
        <v>5</v>
      </c>
      <c r="G1608" s="2">
        <v>23.02</v>
      </c>
    </row>
    <row r="1609" spans="1:7" x14ac:dyDescent="0.25">
      <c r="A16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240926-LAT003</v>
      </c>
      <c r="B1609" s="1" t="str">
        <f>TEXT(Coffee_sales_clean[[#This Row],[Transaction Date]],"dddd")</f>
        <v>Thursday</v>
      </c>
      <c r="C1609" s="12">
        <v>45561</v>
      </c>
      <c r="D1609" s="4">
        <v>0.94959336805555561</v>
      </c>
      <c r="E16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09" t="s">
        <v>3</v>
      </c>
      <c r="G1609" s="2">
        <v>27.92</v>
      </c>
    </row>
    <row r="1610" spans="1:7" x14ac:dyDescent="0.25">
      <c r="A16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240927-MOR001</v>
      </c>
      <c r="B1610" s="1" t="str">
        <f>TEXT(Coffee_sales_clean[[#This Row],[Transaction Date]],"dddd")</f>
        <v>Friday</v>
      </c>
      <c r="C1610" s="12">
        <v>45562</v>
      </c>
      <c r="D1610" s="4">
        <v>0.39566719907407405</v>
      </c>
      <c r="E16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10" t="s">
        <v>3</v>
      </c>
      <c r="G1610" s="2">
        <v>27.92</v>
      </c>
    </row>
    <row r="1611" spans="1:7" x14ac:dyDescent="0.25">
      <c r="A16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240927-MOR002</v>
      </c>
      <c r="B1611" s="1" t="str">
        <f>TEXT(Coffee_sales_clean[[#This Row],[Transaction Date]],"dddd")</f>
        <v>Friday</v>
      </c>
      <c r="C1611" s="12">
        <v>45562</v>
      </c>
      <c r="D1611" s="4">
        <v>0.39842565972222221</v>
      </c>
      <c r="E16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11" t="s">
        <v>5</v>
      </c>
      <c r="G1611" s="2">
        <v>23.02</v>
      </c>
    </row>
    <row r="1612" spans="1:7" x14ac:dyDescent="0.25">
      <c r="A16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240927-MOR003</v>
      </c>
      <c r="B1612" s="1" t="str">
        <f>TEXT(Coffee_sales_clean[[#This Row],[Transaction Date]],"dddd")</f>
        <v>Friday</v>
      </c>
      <c r="C1612" s="12">
        <v>45562</v>
      </c>
      <c r="D1612" s="4">
        <v>0.40352699074074072</v>
      </c>
      <c r="E16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12" t="s">
        <v>7</v>
      </c>
      <c r="G1612" s="2">
        <v>32.82</v>
      </c>
    </row>
    <row r="1613" spans="1:7" x14ac:dyDescent="0.25">
      <c r="A16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240927-MOR004</v>
      </c>
      <c r="B1613" s="1" t="str">
        <f>TEXT(Coffee_sales_clean[[#This Row],[Transaction Date]],"dddd")</f>
        <v>Friday</v>
      </c>
      <c r="C1613" s="12">
        <v>45562</v>
      </c>
      <c r="D1613" s="4">
        <v>0.44926643518518516</v>
      </c>
      <c r="E16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13" t="s">
        <v>3</v>
      </c>
      <c r="G1613" s="2">
        <v>27.92</v>
      </c>
    </row>
    <row r="1614" spans="1:7" x14ac:dyDescent="0.25">
      <c r="A16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240927-LUN001</v>
      </c>
      <c r="B1614" s="1" t="str">
        <f>TEXT(Coffee_sales_clean[[#This Row],[Transaction Date]],"dddd")</f>
        <v>Friday</v>
      </c>
      <c r="C1614" s="12">
        <v>45562</v>
      </c>
      <c r="D1614" s="4">
        <v>0.48264215277777778</v>
      </c>
      <c r="E16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14" t="s">
        <v>3</v>
      </c>
      <c r="G1614" s="2">
        <v>27.92</v>
      </c>
    </row>
    <row r="1615" spans="1:7" x14ac:dyDescent="0.25">
      <c r="A16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240927-LUN002</v>
      </c>
      <c r="B1615" s="1" t="str">
        <f>TEXT(Coffee_sales_clean[[#This Row],[Transaction Date]],"dddd")</f>
        <v>Friday</v>
      </c>
      <c r="C1615" s="12">
        <v>45562</v>
      </c>
      <c r="D1615" s="4">
        <v>0.5559149884259259</v>
      </c>
      <c r="E16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15" t="s">
        <v>7</v>
      </c>
      <c r="G1615" s="2">
        <v>32.82</v>
      </c>
    </row>
    <row r="1616" spans="1:7" x14ac:dyDescent="0.25">
      <c r="A16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240927-LUN003</v>
      </c>
      <c r="B1616" s="1" t="str">
        <f>TEXT(Coffee_sales_clean[[#This Row],[Transaction Date]],"dddd")</f>
        <v>Friday</v>
      </c>
      <c r="C1616" s="12">
        <v>45562</v>
      </c>
      <c r="D1616" s="4">
        <v>0.55908879629629626</v>
      </c>
      <c r="E16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16" t="s">
        <v>7</v>
      </c>
      <c r="G1616" s="2">
        <v>32.82</v>
      </c>
    </row>
    <row r="1617" spans="1:7" x14ac:dyDescent="0.25">
      <c r="A16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240927-LUN004</v>
      </c>
      <c r="B1617" s="1" t="str">
        <f>TEXT(Coffee_sales_clean[[#This Row],[Transaction Date]],"dddd")</f>
        <v>Friday</v>
      </c>
      <c r="C1617" s="12">
        <v>45562</v>
      </c>
      <c r="D1617" s="4">
        <v>0.56149429398148143</v>
      </c>
      <c r="E16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17" t="s">
        <v>2</v>
      </c>
      <c r="G1617" s="2">
        <v>23.02</v>
      </c>
    </row>
    <row r="1618" spans="1:7" x14ac:dyDescent="0.25">
      <c r="A16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240927-LUN005</v>
      </c>
      <c r="B1618" s="1" t="str">
        <f>TEXT(Coffee_sales_clean[[#This Row],[Transaction Date]],"dddd")</f>
        <v>Friday</v>
      </c>
      <c r="C1618" s="12">
        <v>45562</v>
      </c>
      <c r="D1618" s="4">
        <v>0.5651904513888889</v>
      </c>
      <c r="E16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18" t="s">
        <v>3</v>
      </c>
      <c r="G1618" s="2">
        <v>27.92</v>
      </c>
    </row>
    <row r="1619" spans="1:7" x14ac:dyDescent="0.25">
      <c r="A16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240927-EVE001</v>
      </c>
      <c r="B1619" s="1" t="str">
        <f>TEXT(Coffee_sales_clean[[#This Row],[Transaction Date]],"dddd")</f>
        <v>Friday</v>
      </c>
      <c r="C1619" s="12">
        <v>45562</v>
      </c>
      <c r="D1619" s="4">
        <v>0.75536695601851855</v>
      </c>
      <c r="E16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19" t="s">
        <v>0</v>
      </c>
      <c r="G1619" s="2">
        <v>32.82</v>
      </c>
    </row>
    <row r="1620" spans="1:7" x14ac:dyDescent="0.25">
      <c r="A16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240927-EVE002</v>
      </c>
      <c r="B1620" s="1" t="str">
        <f>TEXT(Coffee_sales_clean[[#This Row],[Transaction Date]],"dddd")</f>
        <v>Friday</v>
      </c>
      <c r="C1620" s="12">
        <v>45562</v>
      </c>
      <c r="D1620" s="4">
        <v>0.75622961805555555</v>
      </c>
      <c r="E16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20" t="s">
        <v>0</v>
      </c>
      <c r="G1620" s="2">
        <v>32.82</v>
      </c>
    </row>
    <row r="1621" spans="1:7" x14ac:dyDescent="0.25">
      <c r="A16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240927-EVE003</v>
      </c>
      <c r="B1621" s="1" t="str">
        <f>TEXT(Coffee_sales_clean[[#This Row],[Transaction Date]],"dddd")</f>
        <v>Friday</v>
      </c>
      <c r="C1621" s="12">
        <v>45562</v>
      </c>
      <c r="D1621" s="4">
        <v>0.77622559027777782</v>
      </c>
      <c r="E16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21" t="s">
        <v>7</v>
      </c>
      <c r="G1621" s="2">
        <v>32.82</v>
      </c>
    </row>
    <row r="1622" spans="1:7" x14ac:dyDescent="0.25">
      <c r="A16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240927-EVE004</v>
      </c>
      <c r="B1622" s="1" t="str">
        <f>TEXT(Coffee_sales_clean[[#This Row],[Transaction Date]],"dddd")</f>
        <v>Friday</v>
      </c>
      <c r="C1622" s="12">
        <v>45562</v>
      </c>
      <c r="D1622" s="4">
        <v>0.77839996527777777</v>
      </c>
      <c r="E16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22" t="s">
        <v>7</v>
      </c>
      <c r="G1622" s="2">
        <v>32.82</v>
      </c>
    </row>
    <row r="1623" spans="1:7" x14ac:dyDescent="0.25">
      <c r="A16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240927-LAT001</v>
      </c>
      <c r="B1623" s="1" t="str">
        <f>TEXT(Coffee_sales_clean[[#This Row],[Transaction Date]],"dddd")</f>
        <v>Friday</v>
      </c>
      <c r="C1623" s="12">
        <v>45562</v>
      </c>
      <c r="D1623" s="4">
        <v>0.8459871180555556</v>
      </c>
      <c r="E16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23" t="s">
        <v>7</v>
      </c>
      <c r="G1623" s="2">
        <v>32.82</v>
      </c>
    </row>
    <row r="1624" spans="1:7" x14ac:dyDescent="0.25">
      <c r="A16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240927-LAT002</v>
      </c>
      <c r="B1624" s="1" t="str">
        <f>TEXT(Coffee_sales_clean[[#This Row],[Transaction Date]],"dddd")</f>
        <v>Friday</v>
      </c>
      <c r="C1624" s="12">
        <v>45562</v>
      </c>
      <c r="D1624" s="4">
        <v>0.84669350694444445</v>
      </c>
      <c r="E16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24" t="s">
        <v>7</v>
      </c>
      <c r="G1624" s="2">
        <v>32.82</v>
      </c>
    </row>
    <row r="1625" spans="1:7" x14ac:dyDescent="0.25">
      <c r="A16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240927-LAT003</v>
      </c>
      <c r="B1625" s="1" t="str">
        <f>TEXT(Coffee_sales_clean[[#This Row],[Transaction Date]],"dddd")</f>
        <v>Friday</v>
      </c>
      <c r="C1625" s="12">
        <v>45562</v>
      </c>
      <c r="D1625" s="4">
        <v>0.87378434027777774</v>
      </c>
      <c r="E16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25" t="s">
        <v>3</v>
      </c>
      <c r="G1625" s="2">
        <v>27.92</v>
      </c>
    </row>
    <row r="1626" spans="1:7" x14ac:dyDescent="0.25">
      <c r="A16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240928-MOR001</v>
      </c>
      <c r="B1626" s="1" t="str">
        <f>TEXT(Coffee_sales_clean[[#This Row],[Transaction Date]],"dddd")</f>
        <v>Saturday</v>
      </c>
      <c r="C1626" s="12">
        <v>45563</v>
      </c>
      <c r="D1626" s="4">
        <v>0.33802626157407406</v>
      </c>
      <c r="E16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26" t="s">
        <v>3</v>
      </c>
      <c r="G1626" s="2">
        <v>27.92</v>
      </c>
    </row>
    <row r="1627" spans="1:7" x14ac:dyDescent="0.25">
      <c r="A16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240928-MOR002</v>
      </c>
      <c r="B1627" s="1" t="str">
        <f>TEXT(Coffee_sales_clean[[#This Row],[Transaction Date]],"dddd")</f>
        <v>Saturday</v>
      </c>
      <c r="C1627" s="12">
        <v>45563</v>
      </c>
      <c r="D1627" s="4">
        <v>0.39669859953703701</v>
      </c>
      <c r="E16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27" t="s">
        <v>3</v>
      </c>
      <c r="G1627" s="2">
        <v>27.92</v>
      </c>
    </row>
    <row r="1628" spans="1:7" x14ac:dyDescent="0.25">
      <c r="A16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240928-AFT001</v>
      </c>
      <c r="B1628" s="1" t="str">
        <f>TEXT(Coffee_sales_clean[[#This Row],[Transaction Date]],"dddd")</f>
        <v>Saturday</v>
      </c>
      <c r="C1628" s="12">
        <v>45563</v>
      </c>
      <c r="D1628" s="4">
        <v>0.60124232638888886</v>
      </c>
      <c r="E16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28" t="s">
        <v>0</v>
      </c>
      <c r="G1628" s="2">
        <v>35.76</v>
      </c>
    </row>
    <row r="1629" spans="1:7" x14ac:dyDescent="0.25">
      <c r="A16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240928-AFT002</v>
      </c>
      <c r="B1629" s="1" t="str">
        <f>TEXT(Coffee_sales_clean[[#This Row],[Transaction Date]],"dddd")</f>
        <v>Saturday</v>
      </c>
      <c r="C1629" s="12">
        <v>45563</v>
      </c>
      <c r="D1629" s="4">
        <v>0.70648284722222221</v>
      </c>
      <c r="E16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29" t="s">
        <v>0</v>
      </c>
      <c r="G1629" s="2">
        <v>35.76</v>
      </c>
    </row>
    <row r="1630" spans="1:7" x14ac:dyDescent="0.25">
      <c r="A16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240928-EVE001</v>
      </c>
      <c r="B1630" s="1" t="str">
        <f>TEXT(Coffee_sales_clean[[#This Row],[Transaction Date]],"dddd")</f>
        <v>Saturday</v>
      </c>
      <c r="C1630" s="12">
        <v>45563</v>
      </c>
      <c r="D1630" s="4">
        <v>0.72658222222222224</v>
      </c>
      <c r="E16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30" t="s">
        <v>3</v>
      </c>
      <c r="G1630" s="2">
        <v>30.86</v>
      </c>
    </row>
    <row r="1631" spans="1:7" x14ac:dyDescent="0.25">
      <c r="A16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240928-LAT001</v>
      </c>
      <c r="B1631" s="1" t="str">
        <f>TEXT(Coffee_sales_clean[[#This Row],[Transaction Date]],"dddd")</f>
        <v>Saturday</v>
      </c>
      <c r="C1631" s="12">
        <v>45563</v>
      </c>
      <c r="D1631" s="4">
        <v>0.85730451388888884</v>
      </c>
      <c r="E16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31" t="s">
        <v>0</v>
      </c>
      <c r="G1631" s="2">
        <v>35.76</v>
      </c>
    </row>
    <row r="1632" spans="1:7" x14ac:dyDescent="0.25">
      <c r="A16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240928-LAT002</v>
      </c>
      <c r="B1632" s="1" t="str">
        <f>TEXT(Coffee_sales_clean[[#This Row],[Transaction Date]],"dddd")</f>
        <v>Saturday</v>
      </c>
      <c r="C1632" s="12">
        <v>45563</v>
      </c>
      <c r="D1632" s="4">
        <v>0.86014469907407409</v>
      </c>
      <c r="E16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32" t="s">
        <v>0</v>
      </c>
      <c r="G1632" s="2">
        <v>35.76</v>
      </c>
    </row>
    <row r="1633" spans="1:7" x14ac:dyDescent="0.25">
      <c r="A16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240928-LAT003</v>
      </c>
      <c r="B1633" s="1" t="str">
        <f>TEXT(Coffee_sales_clean[[#This Row],[Transaction Date]],"dddd")</f>
        <v>Saturday</v>
      </c>
      <c r="C1633" s="12">
        <v>45563</v>
      </c>
      <c r="D1633" s="4">
        <v>0.92820343750000001</v>
      </c>
      <c r="E16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33" t="s">
        <v>7</v>
      </c>
      <c r="G1633" s="2">
        <v>35.76</v>
      </c>
    </row>
    <row r="1634" spans="1:7" x14ac:dyDescent="0.25">
      <c r="A16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240928-LAT004</v>
      </c>
      <c r="B1634" s="1" t="str">
        <f>TEXT(Coffee_sales_clean[[#This Row],[Transaction Date]],"dddd")</f>
        <v>Saturday</v>
      </c>
      <c r="C1634" s="12">
        <v>45563</v>
      </c>
      <c r="D1634" s="4">
        <v>0.92881466435185189</v>
      </c>
      <c r="E16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34" t="s">
        <v>4</v>
      </c>
      <c r="G1634" s="2">
        <v>35.76</v>
      </c>
    </row>
    <row r="1635" spans="1:7" x14ac:dyDescent="0.25">
      <c r="A16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240928-LAT005</v>
      </c>
      <c r="B1635" s="1" t="str">
        <f>TEXT(Coffee_sales_clean[[#This Row],[Transaction Date]],"dddd")</f>
        <v>Saturday</v>
      </c>
      <c r="C1635" s="12">
        <v>45563</v>
      </c>
      <c r="D1635" s="4">
        <v>0.92935268518518521</v>
      </c>
      <c r="E16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35" t="s">
        <v>5</v>
      </c>
      <c r="G1635" s="2">
        <v>25.96</v>
      </c>
    </row>
    <row r="1636" spans="1:7" x14ac:dyDescent="0.25">
      <c r="A16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240928-LAT006</v>
      </c>
      <c r="B1636" s="1" t="str">
        <f>TEXT(Coffee_sales_clean[[#This Row],[Transaction Date]],"dddd")</f>
        <v>Saturday</v>
      </c>
      <c r="C1636" s="12">
        <v>45563</v>
      </c>
      <c r="D1636" s="4">
        <v>0.93001190972222225</v>
      </c>
      <c r="E16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36" t="s">
        <v>1</v>
      </c>
      <c r="G1636" s="2">
        <v>35.76</v>
      </c>
    </row>
    <row r="1637" spans="1:7" x14ac:dyDescent="0.25">
      <c r="A16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240929-MOR001</v>
      </c>
      <c r="B1637" s="1" t="str">
        <f>TEXT(Coffee_sales_clean[[#This Row],[Transaction Date]],"dddd")</f>
        <v>Sunday</v>
      </c>
      <c r="C1637" s="12">
        <v>45564</v>
      </c>
      <c r="D1637" s="4">
        <v>0.45052141203703705</v>
      </c>
      <c r="E16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37" t="s">
        <v>2</v>
      </c>
      <c r="G1637" s="2">
        <v>25.96</v>
      </c>
    </row>
    <row r="1638" spans="1:7" x14ac:dyDescent="0.25">
      <c r="A16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240929-MOR002</v>
      </c>
      <c r="B1638" s="1" t="str">
        <f>TEXT(Coffee_sales_clean[[#This Row],[Transaction Date]],"dddd")</f>
        <v>Sunday</v>
      </c>
      <c r="C1638" s="12">
        <v>45564</v>
      </c>
      <c r="D1638" s="4">
        <v>0.45144974537037036</v>
      </c>
      <c r="E16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38" t="s">
        <v>7</v>
      </c>
      <c r="G1638" s="2">
        <v>35.76</v>
      </c>
    </row>
    <row r="1639" spans="1:7" x14ac:dyDescent="0.25">
      <c r="A16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240929-MOR003</v>
      </c>
      <c r="B1639" s="1" t="str">
        <f>TEXT(Coffee_sales_clean[[#This Row],[Transaction Date]],"dddd")</f>
        <v>Sunday</v>
      </c>
      <c r="C1639" s="12">
        <v>45564</v>
      </c>
      <c r="D1639" s="4">
        <v>0.45212098379629628</v>
      </c>
      <c r="E16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39" t="s">
        <v>7</v>
      </c>
      <c r="G1639" s="2">
        <v>35.76</v>
      </c>
    </row>
    <row r="1640" spans="1:7" x14ac:dyDescent="0.25">
      <c r="A16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240929-MOR004</v>
      </c>
      <c r="B1640" s="1" t="str">
        <f>TEXT(Coffee_sales_clean[[#This Row],[Transaction Date]],"dddd")</f>
        <v>Sunday</v>
      </c>
      <c r="C1640" s="12">
        <v>45564</v>
      </c>
      <c r="D1640" s="4">
        <v>0.45304422453703702</v>
      </c>
      <c r="E16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40" t="s">
        <v>7</v>
      </c>
      <c r="G1640" s="2">
        <v>35.76</v>
      </c>
    </row>
    <row r="1641" spans="1:7" x14ac:dyDescent="0.25">
      <c r="A16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240929-MOR005</v>
      </c>
      <c r="B1641" s="1" t="str">
        <f>TEXT(Coffee_sales_clean[[#This Row],[Transaction Date]],"dddd")</f>
        <v>Sunday</v>
      </c>
      <c r="C1641" s="12">
        <v>45564</v>
      </c>
      <c r="D1641" s="4">
        <v>0.45396216435185183</v>
      </c>
      <c r="E16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41" t="s">
        <v>3</v>
      </c>
      <c r="G1641" s="2">
        <v>30.86</v>
      </c>
    </row>
    <row r="1642" spans="1:7" x14ac:dyDescent="0.25">
      <c r="A16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240929-LUN001</v>
      </c>
      <c r="B1642" s="1" t="str">
        <f>TEXT(Coffee_sales_clean[[#This Row],[Transaction Date]],"dddd")</f>
        <v>Sunday</v>
      </c>
      <c r="C1642" s="12">
        <v>45564</v>
      </c>
      <c r="D1642" s="4">
        <v>0.5248083564814815</v>
      </c>
      <c r="E16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42" t="s">
        <v>0</v>
      </c>
      <c r="G1642" s="2">
        <v>35.76</v>
      </c>
    </row>
    <row r="1643" spans="1:7" x14ac:dyDescent="0.25">
      <c r="A16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240929-LUN002</v>
      </c>
      <c r="B1643" s="1" t="str">
        <f>TEXT(Coffee_sales_clean[[#This Row],[Transaction Date]],"dddd")</f>
        <v>Sunday</v>
      </c>
      <c r="C1643" s="12">
        <v>45564</v>
      </c>
      <c r="D1643" s="4">
        <v>0.53539865740740744</v>
      </c>
      <c r="E16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43" t="s">
        <v>5</v>
      </c>
      <c r="G1643" s="2">
        <v>25.96</v>
      </c>
    </row>
    <row r="1644" spans="1:7" x14ac:dyDescent="0.25">
      <c r="A16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240929-LUN003</v>
      </c>
      <c r="B1644" s="1" t="str">
        <f>TEXT(Coffee_sales_clean[[#This Row],[Transaction Date]],"dddd")</f>
        <v>Sunday</v>
      </c>
      <c r="C1644" s="12">
        <v>45564</v>
      </c>
      <c r="D1644" s="4">
        <v>0.53767806712962962</v>
      </c>
      <c r="E16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44" t="s">
        <v>0</v>
      </c>
      <c r="G1644" s="2">
        <v>35.76</v>
      </c>
    </row>
    <row r="1645" spans="1:7" x14ac:dyDescent="0.25">
      <c r="A16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240929-LUN004</v>
      </c>
      <c r="B1645" s="1" t="str">
        <f>TEXT(Coffee_sales_clean[[#This Row],[Transaction Date]],"dddd")</f>
        <v>Sunday</v>
      </c>
      <c r="C1645" s="12">
        <v>45564</v>
      </c>
      <c r="D1645" s="4">
        <v>0.53844487268518515</v>
      </c>
      <c r="E16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45" t="s">
        <v>0</v>
      </c>
      <c r="G1645" s="2">
        <v>35.76</v>
      </c>
    </row>
    <row r="1646" spans="1:7" x14ac:dyDescent="0.25">
      <c r="A16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240929-EVE001</v>
      </c>
      <c r="B1646" s="1" t="str">
        <f>TEXT(Coffee_sales_clean[[#This Row],[Transaction Date]],"dddd")</f>
        <v>Sunday</v>
      </c>
      <c r="C1646" s="12">
        <v>45564</v>
      </c>
      <c r="D1646" s="4">
        <v>0.75170481481481477</v>
      </c>
      <c r="E16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46" t="s">
        <v>7</v>
      </c>
      <c r="G1646" s="2">
        <v>35.76</v>
      </c>
    </row>
    <row r="1647" spans="1:7" x14ac:dyDescent="0.25">
      <c r="A16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240929-LAT001</v>
      </c>
      <c r="B1647" s="1" t="str">
        <f>TEXT(Coffee_sales_clean[[#This Row],[Transaction Date]],"dddd")</f>
        <v>Sunday</v>
      </c>
      <c r="C1647" s="12">
        <v>45564</v>
      </c>
      <c r="D1647" s="4">
        <v>0.93822702546296299</v>
      </c>
      <c r="E16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47" t="s">
        <v>0</v>
      </c>
      <c r="G1647" s="2">
        <v>35.76</v>
      </c>
    </row>
    <row r="1648" spans="1:7" x14ac:dyDescent="0.25">
      <c r="A16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240930-MOR001</v>
      </c>
      <c r="B1648" s="1" t="str">
        <f>TEXT(Coffee_sales_clean[[#This Row],[Transaction Date]],"dddd")</f>
        <v>Monday</v>
      </c>
      <c r="C1648" s="12">
        <v>45565</v>
      </c>
      <c r="D1648" s="4">
        <v>0.3394388425925926</v>
      </c>
      <c r="E16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48" t="s">
        <v>5</v>
      </c>
      <c r="G1648" s="2">
        <v>25.96</v>
      </c>
    </row>
    <row r="1649" spans="1:7" x14ac:dyDescent="0.25">
      <c r="A16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240930-MOR002</v>
      </c>
      <c r="B1649" s="1" t="str">
        <f>TEXT(Coffee_sales_clean[[#This Row],[Transaction Date]],"dddd")</f>
        <v>Monday</v>
      </c>
      <c r="C1649" s="12">
        <v>45565</v>
      </c>
      <c r="D1649" s="4">
        <v>0.37424385416666667</v>
      </c>
      <c r="E16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49" t="s">
        <v>5</v>
      </c>
      <c r="G1649" s="2">
        <v>25.96</v>
      </c>
    </row>
    <row r="1650" spans="1:7" x14ac:dyDescent="0.25">
      <c r="A16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240930-MOR003</v>
      </c>
      <c r="B1650" s="1" t="str">
        <f>TEXT(Coffee_sales_clean[[#This Row],[Transaction Date]],"dddd")</f>
        <v>Monday</v>
      </c>
      <c r="C1650" s="12">
        <v>45565</v>
      </c>
      <c r="D1650" s="4">
        <v>0.37505690972222222</v>
      </c>
      <c r="E16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50" t="s">
        <v>1</v>
      </c>
      <c r="G1650" s="2">
        <v>35.76</v>
      </c>
    </row>
    <row r="1651" spans="1:7" x14ac:dyDescent="0.25">
      <c r="A16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240930-MOR004</v>
      </c>
      <c r="B1651" s="1" t="str">
        <f>TEXT(Coffee_sales_clean[[#This Row],[Transaction Date]],"dddd")</f>
        <v>Monday</v>
      </c>
      <c r="C1651" s="12">
        <v>45565</v>
      </c>
      <c r="D1651" s="4">
        <v>0.41746722222222221</v>
      </c>
      <c r="E16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51" t="s">
        <v>3</v>
      </c>
      <c r="G1651" s="2">
        <v>30.86</v>
      </c>
    </row>
    <row r="1652" spans="1:7" x14ac:dyDescent="0.25">
      <c r="A16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240930-MOR005</v>
      </c>
      <c r="B1652" s="1" t="str">
        <f>TEXT(Coffee_sales_clean[[#This Row],[Transaction Date]],"dddd")</f>
        <v>Monday</v>
      </c>
      <c r="C1652" s="12">
        <v>45565</v>
      </c>
      <c r="D1652" s="4">
        <v>0.42035128472222222</v>
      </c>
      <c r="E16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52" t="s">
        <v>5</v>
      </c>
      <c r="G1652" s="2">
        <v>25.96</v>
      </c>
    </row>
    <row r="1653" spans="1:7" x14ac:dyDescent="0.25">
      <c r="A16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240930-LUN001</v>
      </c>
      <c r="B1653" s="1" t="str">
        <f>TEXT(Coffee_sales_clean[[#This Row],[Transaction Date]],"dddd")</f>
        <v>Monday</v>
      </c>
      <c r="C1653" s="12">
        <v>45565</v>
      </c>
      <c r="D1653" s="4">
        <v>0.4811870138888889</v>
      </c>
      <c r="E16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53" t="s">
        <v>3</v>
      </c>
      <c r="G1653" s="2">
        <v>30.86</v>
      </c>
    </row>
    <row r="1654" spans="1:7" x14ac:dyDescent="0.25">
      <c r="A16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240930-AFT001</v>
      </c>
      <c r="B1654" s="1" t="str">
        <f>TEXT(Coffee_sales_clean[[#This Row],[Transaction Date]],"dddd")</f>
        <v>Monday</v>
      </c>
      <c r="C1654" s="12">
        <v>45565</v>
      </c>
      <c r="D1654" s="4">
        <v>0.69843124999999995</v>
      </c>
      <c r="E16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54" t="s">
        <v>3</v>
      </c>
      <c r="G1654" s="2">
        <v>30.86</v>
      </c>
    </row>
    <row r="1655" spans="1:7" x14ac:dyDescent="0.25">
      <c r="A16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240930-EVE001</v>
      </c>
      <c r="B1655" s="1" t="str">
        <f>TEXT(Coffee_sales_clean[[#This Row],[Transaction Date]],"dddd")</f>
        <v>Monday</v>
      </c>
      <c r="C1655" s="12">
        <v>45565</v>
      </c>
      <c r="D1655" s="4">
        <v>0.81409953703703708</v>
      </c>
      <c r="E16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55" t="s">
        <v>0</v>
      </c>
      <c r="G1655" s="2">
        <v>35.76</v>
      </c>
    </row>
    <row r="1656" spans="1:7" x14ac:dyDescent="0.25">
      <c r="A16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240930-EVE002</v>
      </c>
      <c r="B1656" s="1" t="str">
        <f>TEXT(Coffee_sales_clean[[#This Row],[Transaction Date]],"dddd")</f>
        <v>Monday</v>
      </c>
      <c r="C1656" s="12">
        <v>45565</v>
      </c>
      <c r="D1656" s="4">
        <v>0.82863532407407403</v>
      </c>
      <c r="E16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56" t="s">
        <v>3</v>
      </c>
      <c r="G1656" s="2">
        <v>30.86</v>
      </c>
    </row>
    <row r="1657" spans="1:7" x14ac:dyDescent="0.25">
      <c r="A16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240930-EVE003</v>
      </c>
      <c r="B1657" s="1" t="str">
        <f>TEXT(Coffee_sales_clean[[#This Row],[Transaction Date]],"dddd")</f>
        <v>Monday</v>
      </c>
      <c r="C1657" s="12">
        <v>45565</v>
      </c>
      <c r="D1657" s="4">
        <v>0.82937060185185185</v>
      </c>
      <c r="E16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57" t="s">
        <v>5</v>
      </c>
      <c r="G1657" s="2">
        <v>25.96</v>
      </c>
    </row>
    <row r="1658" spans="1:7" x14ac:dyDescent="0.25">
      <c r="A16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240930-EVE004</v>
      </c>
      <c r="B1658" s="1" t="str">
        <f>TEXT(Coffee_sales_clean[[#This Row],[Transaction Date]],"dddd")</f>
        <v>Monday</v>
      </c>
      <c r="C1658" s="12">
        <v>45565</v>
      </c>
      <c r="D1658" s="4">
        <v>0.83285871527777777</v>
      </c>
      <c r="E16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58" t="s">
        <v>0</v>
      </c>
      <c r="G1658" s="2">
        <v>35.76</v>
      </c>
    </row>
    <row r="1659" spans="1:7" x14ac:dyDescent="0.25">
      <c r="A16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240930-LAT001</v>
      </c>
      <c r="B1659" s="1" t="str">
        <f>TEXT(Coffee_sales_clean[[#This Row],[Transaction Date]],"dddd")</f>
        <v>Monday</v>
      </c>
      <c r="C1659" s="12">
        <v>45565</v>
      </c>
      <c r="D1659" s="4">
        <v>0.8338210069444445</v>
      </c>
      <c r="E16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59" t="s">
        <v>3</v>
      </c>
      <c r="G1659" s="2">
        <v>30.86</v>
      </c>
    </row>
    <row r="1660" spans="1:7" x14ac:dyDescent="0.25">
      <c r="A16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240930-LAT002</v>
      </c>
      <c r="B1660" s="1" t="str">
        <f>TEXT(Coffee_sales_clean[[#This Row],[Transaction Date]],"dddd")</f>
        <v>Monday</v>
      </c>
      <c r="C1660" s="12">
        <v>45565</v>
      </c>
      <c r="D1660" s="4">
        <v>0.83451609953703698</v>
      </c>
      <c r="E16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60" t="s">
        <v>3</v>
      </c>
      <c r="G1660" s="2">
        <v>30.86</v>
      </c>
    </row>
    <row r="1661" spans="1:7" x14ac:dyDescent="0.25">
      <c r="A16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240930-LAT003</v>
      </c>
      <c r="B1661" s="1" t="str">
        <f>TEXT(Coffee_sales_clean[[#This Row],[Transaction Date]],"dddd")</f>
        <v>Monday</v>
      </c>
      <c r="C1661" s="12">
        <v>45565</v>
      </c>
      <c r="D1661" s="4">
        <v>0.90355934027777773</v>
      </c>
      <c r="E16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61" t="s">
        <v>3</v>
      </c>
      <c r="G1661" s="2">
        <v>30.86</v>
      </c>
    </row>
    <row r="1662" spans="1:7" x14ac:dyDescent="0.25">
      <c r="A16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241001-MOR001</v>
      </c>
      <c r="B1662" s="1" t="str">
        <f>TEXT(Coffee_sales_clean[[#This Row],[Transaction Date]],"dddd")</f>
        <v>Tuesday</v>
      </c>
      <c r="C1662" s="12">
        <v>45566</v>
      </c>
      <c r="D1662" s="4">
        <v>0.32440334490740741</v>
      </c>
      <c r="E16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62" t="s">
        <v>0</v>
      </c>
      <c r="G1662" s="2">
        <v>35.76</v>
      </c>
    </row>
    <row r="1663" spans="1:7" x14ac:dyDescent="0.25">
      <c r="A16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241001-MOR002</v>
      </c>
      <c r="B1663" s="1" t="str">
        <f>TEXT(Coffee_sales_clean[[#This Row],[Transaction Date]],"dddd")</f>
        <v>Tuesday</v>
      </c>
      <c r="C1663" s="12">
        <v>45566</v>
      </c>
      <c r="D1663" s="4">
        <v>0.40868954861111112</v>
      </c>
      <c r="E16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63" t="s">
        <v>3</v>
      </c>
      <c r="G1663" s="2">
        <v>30.86</v>
      </c>
    </row>
    <row r="1664" spans="1:7" x14ac:dyDescent="0.25">
      <c r="A16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241001-MOR003</v>
      </c>
      <c r="B1664" s="1" t="str">
        <f>TEXT(Coffee_sales_clean[[#This Row],[Transaction Date]],"dddd")</f>
        <v>Tuesday</v>
      </c>
      <c r="C1664" s="12">
        <v>45566</v>
      </c>
      <c r="D1664" s="4">
        <v>0.41836548611111113</v>
      </c>
      <c r="E16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64" t="s">
        <v>3</v>
      </c>
      <c r="G1664" s="2">
        <v>30.86</v>
      </c>
    </row>
    <row r="1665" spans="1:7" x14ac:dyDescent="0.25">
      <c r="A16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241001-MOR004</v>
      </c>
      <c r="B1665" s="1" t="str">
        <f>TEXT(Coffee_sales_clean[[#This Row],[Transaction Date]],"dddd")</f>
        <v>Tuesday</v>
      </c>
      <c r="C1665" s="12">
        <v>45566</v>
      </c>
      <c r="D1665" s="4">
        <v>0.41929531250000002</v>
      </c>
      <c r="E16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65" t="s">
        <v>3</v>
      </c>
      <c r="G1665" s="2">
        <v>30.86</v>
      </c>
    </row>
    <row r="1666" spans="1:7" x14ac:dyDescent="0.25">
      <c r="A16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241001-LUN001</v>
      </c>
      <c r="B1666" s="1" t="str">
        <f>TEXT(Coffee_sales_clean[[#This Row],[Transaction Date]],"dddd")</f>
        <v>Tuesday</v>
      </c>
      <c r="C1666" s="12">
        <v>45566</v>
      </c>
      <c r="D1666" s="4">
        <v>0.49689644675925926</v>
      </c>
      <c r="E16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66" t="s">
        <v>3</v>
      </c>
      <c r="G1666" s="2">
        <v>30.86</v>
      </c>
    </row>
    <row r="1667" spans="1:7" x14ac:dyDescent="0.25">
      <c r="A16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241001-LUN002</v>
      </c>
      <c r="B1667" s="1" t="str">
        <f>TEXT(Coffee_sales_clean[[#This Row],[Transaction Date]],"dddd")</f>
        <v>Tuesday</v>
      </c>
      <c r="C1667" s="12">
        <v>45566</v>
      </c>
      <c r="D1667" s="4">
        <v>0.50889405092592588</v>
      </c>
      <c r="E16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67" t="s">
        <v>3</v>
      </c>
      <c r="G1667" s="2">
        <v>30.86</v>
      </c>
    </row>
    <row r="1668" spans="1:7" x14ac:dyDescent="0.25">
      <c r="A16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241001-LUN003</v>
      </c>
      <c r="B1668" s="1" t="str">
        <f>TEXT(Coffee_sales_clean[[#This Row],[Transaction Date]],"dddd")</f>
        <v>Tuesday</v>
      </c>
      <c r="C1668" s="12">
        <v>45566</v>
      </c>
      <c r="D1668" s="4">
        <v>0.50999284722222227</v>
      </c>
      <c r="E16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68" t="s">
        <v>3</v>
      </c>
      <c r="G1668" s="2">
        <v>30.86</v>
      </c>
    </row>
    <row r="1669" spans="1:7" x14ac:dyDescent="0.25">
      <c r="A16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241001-AFT001</v>
      </c>
      <c r="B1669" s="1" t="str">
        <f>TEXT(Coffee_sales_clean[[#This Row],[Transaction Date]],"dddd")</f>
        <v>Tuesday</v>
      </c>
      <c r="C1669" s="12">
        <v>45566</v>
      </c>
      <c r="D1669" s="4">
        <v>0.59554348379629629</v>
      </c>
      <c r="E16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69" t="s">
        <v>2</v>
      </c>
      <c r="G1669" s="2">
        <v>25.96</v>
      </c>
    </row>
    <row r="1670" spans="1:7" x14ac:dyDescent="0.25">
      <c r="A16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241001-AFT002</v>
      </c>
      <c r="B1670" s="1" t="str">
        <f>TEXT(Coffee_sales_clean[[#This Row],[Transaction Date]],"dddd")</f>
        <v>Tuesday</v>
      </c>
      <c r="C1670" s="12">
        <v>45566</v>
      </c>
      <c r="D1670" s="4">
        <v>0.59644164351851847</v>
      </c>
      <c r="E16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70" t="s">
        <v>3</v>
      </c>
      <c r="G1670" s="2">
        <v>30.86</v>
      </c>
    </row>
    <row r="1671" spans="1:7" x14ac:dyDescent="0.25">
      <c r="A16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241001-AFT003</v>
      </c>
      <c r="B1671" s="1" t="str">
        <f>TEXT(Coffee_sales_clean[[#This Row],[Transaction Date]],"dddd")</f>
        <v>Tuesday</v>
      </c>
      <c r="C1671" s="12">
        <v>45566</v>
      </c>
      <c r="D1671" s="4">
        <v>0.67267359953703709</v>
      </c>
      <c r="E16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71" t="s">
        <v>1</v>
      </c>
      <c r="G1671" s="2">
        <v>35.76</v>
      </c>
    </row>
    <row r="1672" spans="1:7" x14ac:dyDescent="0.25">
      <c r="A16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241001-AFT004</v>
      </c>
      <c r="B1672" s="1" t="str">
        <f>TEXT(Coffee_sales_clean[[#This Row],[Transaction Date]],"dddd")</f>
        <v>Tuesday</v>
      </c>
      <c r="C1672" s="12">
        <v>45566</v>
      </c>
      <c r="D1672" s="4">
        <v>0.69576945601851847</v>
      </c>
      <c r="E16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72" t="s">
        <v>2</v>
      </c>
      <c r="G1672" s="2">
        <v>25.96</v>
      </c>
    </row>
    <row r="1673" spans="1:7" x14ac:dyDescent="0.25">
      <c r="A16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241001-EVE001</v>
      </c>
      <c r="B1673" s="1" t="str">
        <f>TEXT(Coffee_sales_clean[[#This Row],[Transaction Date]],"dddd")</f>
        <v>Tuesday</v>
      </c>
      <c r="C1673" s="12">
        <v>45566</v>
      </c>
      <c r="D1673" s="4">
        <v>0.7558627893518518</v>
      </c>
      <c r="E16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73" t="s">
        <v>0</v>
      </c>
      <c r="G1673" s="2">
        <v>35.76</v>
      </c>
    </row>
    <row r="1674" spans="1:7" x14ac:dyDescent="0.25">
      <c r="A16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241001-EVE002</v>
      </c>
      <c r="B1674" s="1" t="str">
        <f>TEXT(Coffee_sales_clean[[#This Row],[Transaction Date]],"dddd")</f>
        <v>Tuesday</v>
      </c>
      <c r="C1674" s="12">
        <v>45566</v>
      </c>
      <c r="D1674" s="4">
        <v>0.76610486111111109</v>
      </c>
      <c r="E16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74" t="s">
        <v>0</v>
      </c>
      <c r="G1674" s="2">
        <v>35.76</v>
      </c>
    </row>
    <row r="1675" spans="1:7" x14ac:dyDescent="0.25">
      <c r="A16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241001-EVE003</v>
      </c>
      <c r="B1675" s="1" t="str">
        <f>TEXT(Coffee_sales_clean[[#This Row],[Transaction Date]],"dddd")</f>
        <v>Tuesday</v>
      </c>
      <c r="C1675" s="12">
        <v>45566</v>
      </c>
      <c r="D1675" s="4">
        <v>0.76683162037037034</v>
      </c>
      <c r="E16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75" t="s">
        <v>1</v>
      </c>
      <c r="G1675" s="2">
        <v>35.76</v>
      </c>
    </row>
    <row r="1676" spans="1:7" x14ac:dyDescent="0.25">
      <c r="A16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241001-LAT001</v>
      </c>
      <c r="B1676" s="1" t="str">
        <f>TEXT(Coffee_sales_clean[[#This Row],[Transaction Date]],"dddd")</f>
        <v>Tuesday</v>
      </c>
      <c r="C1676" s="12">
        <v>45566</v>
      </c>
      <c r="D1676" s="4">
        <v>0.83567295138888886</v>
      </c>
      <c r="E16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76" t="s">
        <v>1</v>
      </c>
      <c r="G1676" s="2">
        <v>35.76</v>
      </c>
    </row>
    <row r="1677" spans="1:7" x14ac:dyDescent="0.25">
      <c r="A16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241002-MOR001</v>
      </c>
      <c r="B1677" s="1" t="str">
        <f>TEXT(Coffee_sales_clean[[#This Row],[Transaction Date]],"dddd")</f>
        <v>Wednesday</v>
      </c>
      <c r="C1677" s="12">
        <v>45567</v>
      </c>
      <c r="D1677" s="4">
        <v>0.33146751157407406</v>
      </c>
      <c r="E16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77" t="s">
        <v>0</v>
      </c>
      <c r="G1677" s="2">
        <v>35.76</v>
      </c>
    </row>
    <row r="1678" spans="1:7" x14ac:dyDescent="0.25">
      <c r="A16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241002-MOR002</v>
      </c>
      <c r="B1678" s="1" t="str">
        <f>TEXT(Coffee_sales_clean[[#This Row],[Transaction Date]],"dddd")</f>
        <v>Wednesday</v>
      </c>
      <c r="C1678" s="12">
        <v>45567</v>
      </c>
      <c r="D1678" s="4">
        <v>0.36301668981481483</v>
      </c>
      <c r="E16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78" t="s">
        <v>5</v>
      </c>
      <c r="G1678" s="2">
        <v>25.96</v>
      </c>
    </row>
    <row r="1679" spans="1:7" x14ac:dyDescent="0.25">
      <c r="A16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241002-MOR003</v>
      </c>
      <c r="B1679" s="1" t="str">
        <f>TEXT(Coffee_sales_clean[[#This Row],[Transaction Date]],"dddd")</f>
        <v>Wednesday</v>
      </c>
      <c r="C1679" s="12">
        <v>45567</v>
      </c>
      <c r="D1679" s="4">
        <v>0.38839181712962961</v>
      </c>
      <c r="E16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79" t="s">
        <v>3</v>
      </c>
      <c r="G1679" s="2">
        <v>30.86</v>
      </c>
    </row>
    <row r="1680" spans="1:7" x14ac:dyDescent="0.25">
      <c r="A16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241002-MOR004</v>
      </c>
      <c r="B1680" s="1" t="str">
        <f>TEXT(Coffee_sales_clean[[#This Row],[Transaction Date]],"dddd")</f>
        <v>Wednesday</v>
      </c>
      <c r="C1680" s="12">
        <v>45567</v>
      </c>
      <c r="D1680" s="4">
        <v>0.43196207175925927</v>
      </c>
      <c r="E16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80" t="s">
        <v>0</v>
      </c>
      <c r="G1680" s="2">
        <v>35.76</v>
      </c>
    </row>
    <row r="1681" spans="1:7" x14ac:dyDescent="0.25">
      <c r="A16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241002-MOR005</v>
      </c>
      <c r="B1681" s="1" t="str">
        <f>TEXT(Coffee_sales_clean[[#This Row],[Transaction Date]],"dddd")</f>
        <v>Wednesday</v>
      </c>
      <c r="C1681" s="12">
        <v>45567</v>
      </c>
      <c r="D1681" s="4">
        <v>0.4332786111111111</v>
      </c>
      <c r="E16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81" t="s">
        <v>3</v>
      </c>
      <c r="G1681" s="2">
        <v>30.86</v>
      </c>
    </row>
    <row r="1682" spans="1:7" x14ac:dyDescent="0.25">
      <c r="A16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241002-LUN001</v>
      </c>
      <c r="B1682" s="1" t="str">
        <f>TEXT(Coffee_sales_clean[[#This Row],[Transaction Date]],"dddd")</f>
        <v>Wednesday</v>
      </c>
      <c r="C1682" s="12">
        <v>45567</v>
      </c>
      <c r="D1682" s="4">
        <v>0.47840153935185187</v>
      </c>
      <c r="E16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82" t="s">
        <v>7</v>
      </c>
      <c r="G1682" s="2">
        <v>35.76</v>
      </c>
    </row>
    <row r="1683" spans="1:7" x14ac:dyDescent="0.25">
      <c r="A16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241002-AFT001</v>
      </c>
      <c r="B1683" s="1" t="str">
        <f>TEXT(Coffee_sales_clean[[#This Row],[Transaction Date]],"dddd")</f>
        <v>Wednesday</v>
      </c>
      <c r="C1683" s="12">
        <v>45567</v>
      </c>
      <c r="D1683" s="4">
        <v>0.63451553240740743</v>
      </c>
      <c r="E16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83" t="s">
        <v>7</v>
      </c>
      <c r="G1683" s="2">
        <v>35.76</v>
      </c>
    </row>
    <row r="1684" spans="1:7" x14ac:dyDescent="0.25">
      <c r="A16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241002-EVE001</v>
      </c>
      <c r="B1684" s="1" t="str">
        <f>TEXT(Coffee_sales_clean[[#This Row],[Transaction Date]],"dddd")</f>
        <v>Wednesday</v>
      </c>
      <c r="C1684" s="12">
        <v>45567</v>
      </c>
      <c r="D1684" s="4">
        <v>0.77161056712962961</v>
      </c>
      <c r="E16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684" t="s">
        <v>1</v>
      </c>
      <c r="G1684" s="2">
        <v>35.76</v>
      </c>
    </row>
    <row r="1685" spans="1:7" x14ac:dyDescent="0.25">
      <c r="A16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241002-LAT001</v>
      </c>
      <c r="B1685" s="1" t="str">
        <f>TEXT(Coffee_sales_clean[[#This Row],[Transaction Date]],"dddd")</f>
        <v>Wednesday</v>
      </c>
      <c r="C1685" s="12">
        <v>45567</v>
      </c>
      <c r="D1685" s="4">
        <v>0.92980762731481481</v>
      </c>
      <c r="E16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85" t="s">
        <v>1</v>
      </c>
      <c r="G1685" s="2">
        <v>35.76</v>
      </c>
    </row>
    <row r="1686" spans="1:7" x14ac:dyDescent="0.25">
      <c r="A16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241002-LAT002</v>
      </c>
      <c r="B1686" s="1" t="str">
        <f>TEXT(Coffee_sales_clean[[#This Row],[Transaction Date]],"dddd")</f>
        <v>Wednesday</v>
      </c>
      <c r="C1686" s="12">
        <v>45567</v>
      </c>
      <c r="D1686" s="4">
        <v>0.93033210648148146</v>
      </c>
      <c r="E16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86" t="s">
        <v>1</v>
      </c>
      <c r="G1686" s="2">
        <v>35.76</v>
      </c>
    </row>
    <row r="1687" spans="1:7" x14ac:dyDescent="0.25">
      <c r="A16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241002-LAT003</v>
      </c>
      <c r="B1687" s="1" t="str">
        <f>TEXT(Coffee_sales_clean[[#This Row],[Transaction Date]],"dddd")</f>
        <v>Wednesday</v>
      </c>
      <c r="C1687" s="12">
        <v>45567</v>
      </c>
      <c r="D1687" s="4">
        <v>0.93082929398148151</v>
      </c>
      <c r="E16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87" t="s">
        <v>1</v>
      </c>
      <c r="G1687" s="2">
        <v>35.76</v>
      </c>
    </row>
    <row r="1688" spans="1:7" x14ac:dyDescent="0.25">
      <c r="A16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241003-LUN001</v>
      </c>
      <c r="B1688" s="1" t="str">
        <f>TEXT(Coffee_sales_clean[[#This Row],[Transaction Date]],"dddd")</f>
        <v>Thursday</v>
      </c>
      <c r="C1688" s="12">
        <v>45568</v>
      </c>
      <c r="D1688" s="4">
        <v>0.57472131944444449</v>
      </c>
      <c r="E16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688" t="s">
        <v>4</v>
      </c>
      <c r="G1688" s="2">
        <v>35.76</v>
      </c>
    </row>
    <row r="1689" spans="1:7" x14ac:dyDescent="0.25">
      <c r="A16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241003-AFT001</v>
      </c>
      <c r="B1689" s="1" t="str">
        <f>TEXT(Coffee_sales_clean[[#This Row],[Transaction Date]],"dddd")</f>
        <v>Thursday</v>
      </c>
      <c r="C1689" s="12">
        <v>45568</v>
      </c>
      <c r="D1689" s="4">
        <v>0.63339305555555558</v>
      </c>
      <c r="E16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689" t="s">
        <v>3</v>
      </c>
      <c r="G1689" s="2">
        <v>30.86</v>
      </c>
    </row>
    <row r="1690" spans="1:7" x14ac:dyDescent="0.25">
      <c r="A16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241003-LAT001</v>
      </c>
      <c r="B1690" s="1" t="str">
        <f>TEXT(Coffee_sales_clean[[#This Row],[Transaction Date]],"dddd")</f>
        <v>Thursday</v>
      </c>
      <c r="C1690" s="12">
        <v>45568</v>
      </c>
      <c r="D1690" s="4">
        <v>0.84233519675925927</v>
      </c>
      <c r="E16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90" t="s">
        <v>5</v>
      </c>
      <c r="G1690" s="2">
        <v>25.96</v>
      </c>
    </row>
    <row r="1691" spans="1:7" x14ac:dyDescent="0.25">
      <c r="A16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241003-LAT002</v>
      </c>
      <c r="B1691" s="1" t="str">
        <f>TEXT(Coffee_sales_clean[[#This Row],[Transaction Date]],"dddd")</f>
        <v>Thursday</v>
      </c>
      <c r="C1691" s="12">
        <v>45568</v>
      </c>
      <c r="D1691" s="4">
        <v>0.84311089120370375</v>
      </c>
      <c r="E16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91" t="s">
        <v>1</v>
      </c>
      <c r="G1691" s="2">
        <v>35.76</v>
      </c>
    </row>
    <row r="1692" spans="1:7" x14ac:dyDescent="0.25">
      <c r="A16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241003-LAT003</v>
      </c>
      <c r="B1692" s="1" t="str">
        <f>TEXT(Coffee_sales_clean[[#This Row],[Transaction Date]],"dddd")</f>
        <v>Thursday</v>
      </c>
      <c r="C1692" s="12">
        <v>45568</v>
      </c>
      <c r="D1692" s="4">
        <v>0.88965620370370369</v>
      </c>
      <c r="E16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92" t="s">
        <v>1</v>
      </c>
      <c r="G1692" s="2">
        <v>35.76</v>
      </c>
    </row>
    <row r="1693" spans="1:7" x14ac:dyDescent="0.25">
      <c r="A16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241003-LAT004</v>
      </c>
      <c r="B1693" s="1" t="str">
        <f>TEXT(Coffee_sales_clean[[#This Row],[Transaction Date]],"dddd")</f>
        <v>Thursday</v>
      </c>
      <c r="C1693" s="12">
        <v>45568</v>
      </c>
      <c r="D1693" s="4">
        <v>0.89012474537037034</v>
      </c>
      <c r="E16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93" t="s">
        <v>1</v>
      </c>
      <c r="G1693" s="2">
        <v>35.76</v>
      </c>
    </row>
    <row r="1694" spans="1:7" x14ac:dyDescent="0.25">
      <c r="A16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241003-LAT005</v>
      </c>
      <c r="B1694" s="1" t="str">
        <f>TEXT(Coffee_sales_clean[[#This Row],[Transaction Date]],"dddd")</f>
        <v>Thursday</v>
      </c>
      <c r="C1694" s="12">
        <v>45568</v>
      </c>
      <c r="D1694" s="4">
        <v>0.89517812500000005</v>
      </c>
      <c r="E16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94" t="s">
        <v>7</v>
      </c>
      <c r="G1694" s="2">
        <v>35.76</v>
      </c>
    </row>
    <row r="1695" spans="1:7" x14ac:dyDescent="0.25">
      <c r="A16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241003-LAT006</v>
      </c>
      <c r="B1695" s="1" t="str">
        <f>TEXT(Coffee_sales_clean[[#This Row],[Transaction Date]],"dddd")</f>
        <v>Thursday</v>
      </c>
      <c r="C1695" s="12">
        <v>45568</v>
      </c>
      <c r="D1695" s="4">
        <v>0.89653299768518524</v>
      </c>
      <c r="E16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695" t="s">
        <v>1</v>
      </c>
      <c r="G1695" s="2">
        <v>35.76</v>
      </c>
    </row>
    <row r="1696" spans="1:7" x14ac:dyDescent="0.25">
      <c r="A16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241004-MOR001</v>
      </c>
      <c r="B1696" s="1" t="str">
        <f>TEXT(Coffee_sales_clean[[#This Row],[Transaction Date]],"dddd")</f>
        <v>Friday</v>
      </c>
      <c r="C1696" s="12">
        <v>45569</v>
      </c>
      <c r="D1696" s="4">
        <v>0.36389899305555556</v>
      </c>
      <c r="E16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96" t="s">
        <v>2</v>
      </c>
      <c r="G1696" s="2">
        <v>25.96</v>
      </c>
    </row>
    <row r="1697" spans="1:7" x14ac:dyDescent="0.25">
      <c r="A16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241004-MOR002</v>
      </c>
      <c r="B1697" s="1" t="str">
        <f>TEXT(Coffee_sales_clean[[#This Row],[Transaction Date]],"dddd")</f>
        <v>Friday</v>
      </c>
      <c r="C1697" s="12">
        <v>45569</v>
      </c>
      <c r="D1697" s="4">
        <v>0.36503416666666666</v>
      </c>
      <c r="E16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97" t="s">
        <v>2</v>
      </c>
      <c r="G1697" s="2">
        <v>25.96</v>
      </c>
    </row>
    <row r="1698" spans="1:7" x14ac:dyDescent="0.25">
      <c r="A16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241004-MOR003</v>
      </c>
      <c r="B1698" s="1" t="str">
        <f>TEXT(Coffee_sales_clean[[#This Row],[Transaction Date]],"dddd")</f>
        <v>Friday</v>
      </c>
      <c r="C1698" s="12">
        <v>45569</v>
      </c>
      <c r="D1698" s="4">
        <v>0.39608840277777779</v>
      </c>
      <c r="E16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98" t="s">
        <v>3</v>
      </c>
      <c r="G1698" s="2">
        <v>30.86</v>
      </c>
    </row>
    <row r="1699" spans="1:7" x14ac:dyDescent="0.25">
      <c r="A16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241004-MOR004</v>
      </c>
      <c r="B1699" s="1" t="str">
        <f>TEXT(Coffee_sales_clean[[#This Row],[Transaction Date]],"dddd")</f>
        <v>Friday</v>
      </c>
      <c r="C1699" s="12">
        <v>45569</v>
      </c>
      <c r="D1699" s="4">
        <v>0.39684109953703706</v>
      </c>
      <c r="E16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699" t="s">
        <v>2</v>
      </c>
      <c r="G1699" s="2">
        <v>25.96</v>
      </c>
    </row>
    <row r="1700" spans="1:7" x14ac:dyDescent="0.25">
      <c r="A17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241004-MOR005</v>
      </c>
      <c r="B1700" s="1" t="str">
        <f>TEXT(Coffee_sales_clean[[#This Row],[Transaction Date]],"dddd")</f>
        <v>Friday</v>
      </c>
      <c r="C1700" s="12">
        <v>45569</v>
      </c>
      <c r="D1700" s="4">
        <v>0.41248353009259259</v>
      </c>
      <c r="E17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00" t="s">
        <v>5</v>
      </c>
      <c r="G1700" s="2">
        <v>25.96</v>
      </c>
    </row>
    <row r="1701" spans="1:7" x14ac:dyDescent="0.25">
      <c r="A17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241004-MOR006</v>
      </c>
      <c r="B1701" s="1" t="str">
        <f>TEXT(Coffee_sales_clean[[#This Row],[Transaction Date]],"dddd")</f>
        <v>Friday</v>
      </c>
      <c r="C1701" s="12">
        <v>45569</v>
      </c>
      <c r="D1701" s="4">
        <v>0.4132471875</v>
      </c>
      <c r="E17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01" t="s">
        <v>5</v>
      </c>
      <c r="G1701" s="2">
        <v>25.96</v>
      </c>
    </row>
    <row r="1702" spans="1:7" x14ac:dyDescent="0.25">
      <c r="A17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241004-EVE001</v>
      </c>
      <c r="B1702" s="1" t="str">
        <f>TEXT(Coffee_sales_clean[[#This Row],[Transaction Date]],"dddd")</f>
        <v>Friday</v>
      </c>
      <c r="C1702" s="12">
        <v>45569</v>
      </c>
      <c r="D1702" s="4">
        <v>0.73281028935185188</v>
      </c>
      <c r="E17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02" t="s">
        <v>0</v>
      </c>
      <c r="G1702" s="2">
        <v>35.76</v>
      </c>
    </row>
    <row r="1703" spans="1:7" x14ac:dyDescent="0.25">
      <c r="A17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241004-EVE002</v>
      </c>
      <c r="B1703" s="1" t="str">
        <f>TEXT(Coffee_sales_clean[[#This Row],[Transaction Date]],"dddd")</f>
        <v>Friday</v>
      </c>
      <c r="C1703" s="12">
        <v>45569</v>
      </c>
      <c r="D1703" s="4">
        <v>0.737756724537037</v>
      </c>
      <c r="E17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03" t="s">
        <v>1</v>
      </c>
      <c r="G1703" s="2">
        <v>35.76</v>
      </c>
    </row>
    <row r="1704" spans="1:7" x14ac:dyDescent="0.25">
      <c r="A17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241004-EVE003</v>
      </c>
      <c r="B1704" s="1" t="str">
        <f>TEXT(Coffee_sales_clean[[#This Row],[Transaction Date]],"dddd")</f>
        <v>Friday</v>
      </c>
      <c r="C1704" s="12">
        <v>45569</v>
      </c>
      <c r="D1704" s="4">
        <v>0.73930983796296301</v>
      </c>
      <c r="E17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04" t="s">
        <v>4</v>
      </c>
      <c r="G1704" s="2">
        <v>35.76</v>
      </c>
    </row>
    <row r="1705" spans="1:7" x14ac:dyDescent="0.25">
      <c r="A17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241005-MOR001</v>
      </c>
      <c r="B1705" s="1" t="str">
        <f>TEXT(Coffee_sales_clean[[#This Row],[Transaction Date]],"dddd")</f>
        <v>Saturday</v>
      </c>
      <c r="C1705" s="12">
        <v>45570</v>
      </c>
      <c r="D1705" s="4">
        <v>0.3755423726851852</v>
      </c>
      <c r="E17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05" t="s">
        <v>5</v>
      </c>
      <c r="G1705" s="2">
        <v>25.96</v>
      </c>
    </row>
    <row r="1706" spans="1:7" x14ac:dyDescent="0.25">
      <c r="A17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241005-MOR002</v>
      </c>
      <c r="B1706" s="1" t="str">
        <f>TEXT(Coffee_sales_clean[[#This Row],[Transaction Date]],"dddd")</f>
        <v>Saturday</v>
      </c>
      <c r="C1706" s="12">
        <v>45570</v>
      </c>
      <c r="D1706" s="4">
        <v>0.37618829861111114</v>
      </c>
      <c r="E17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06" t="s">
        <v>5</v>
      </c>
      <c r="G1706" s="2">
        <v>25.96</v>
      </c>
    </row>
    <row r="1707" spans="1:7" x14ac:dyDescent="0.25">
      <c r="A17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241005-MOR003</v>
      </c>
      <c r="B1707" s="1" t="str">
        <f>TEXT(Coffee_sales_clean[[#This Row],[Transaction Date]],"dddd")</f>
        <v>Saturday</v>
      </c>
      <c r="C1707" s="12">
        <v>45570</v>
      </c>
      <c r="D1707" s="4">
        <v>0.39982526620370368</v>
      </c>
      <c r="E17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07" t="s">
        <v>4</v>
      </c>
      <c r="G1707" s="2">
        <v>35.76</v>
      </c>
    </row>
    <row r="1708" spans="1:7" x14ac:dyDescent="0.25">
      <c r="A17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241005-LUN001</v>
      </c>
      <c r="B1708" s="1" t="str">
        <f>TEXT(Coffee_sales_clean[[#This Row],[Transaction Date]],"dddd")</f>
        <v>Saturday</v>
      </c>
      <c r="C1708" s="12">
        <v>45570</v>
      </c>
      <c r="D1708" s="4">
        <v>0.55015376157407403</v>
      </c>
      <c r="E17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08" t="s">
        <v>7</v>
      </c>
      <c r="G1708" s="2">
        <v>35.76</v>
      </c>
    </row>
    <row r="1709" spans="1:7" x14ac:dyDescent="0.25">
      <c r="A17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241005-LAT001</v>
      </c>
      <c r="B1709" s="1" t="str">
        <f>TEXT(Coffee_sales_clean[[#This Row],[Transaction Date]],"dddd")</f>
        <v>Saturday</v>
      </c>
      <c r="C1709" s="12">
        <v>45570</v>
      </c>
      <c r="D1709" s="4">
        <v>0.83932937500000004</v>
      </c>
      <c r="E17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09" t="s">
        <v>2</v>
      </c>
      <c r="G1709" s="2">
        <v>25.96</v>
      </c>
    </row>
    <row r="1710" spans="1:7" x14ac:dyDescent="0.25">
      <c r="A17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241005-LAT002</v>
      </c>
      <c r="B1710" s="1" t="str">
        <f>TEXT(Coffee_sales_clean[[#This Row],[Transaction Date]],"dddd")</f>
        <v>Saturday</v>
      </c>
      <c r="C1710" s="12">
        <v>45570</v>
      </c>
      <c r="D1710" s="4">
        <v>0.83997276620370376</v>
      </c>
      <c r="E17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10" t="s">
        <v>2</v>
      </c>
      <c r="G1710" s="2">
        <v>25.96</v>
      </c>
    </row>
    <row r="1711" spans="1:7" x14ac:dyDescent="0.25">
      <c r="A17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241006-MOR001</v>
      </c>
      <c r="B1711" s="1" t="str">
        <f>TEXT(Coffee_sales_clean[[#This Row],[Transaction Date]],"dddd")</f>
        <v>Sunday</v>
      </c>
      <c r="C1711" s="12">
        <v>45571</v>
      </c>
      <c r="D1711" s="4">
        <v>0.34926760416666669</v>
      </c>
      <c r="E17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11" t="s">
        <v>5</v>
      </c>
      <c r="G1711" s="2">
        <v>25.96</v>
      </c>
    </row>
    <row r="1712" spans="1:7" x14ac:dyDescent="0.25">
      <c r="A17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241006-MOR002</v>
      </c>
      <c r="B1712" s="1" t="str">
        <f>TEXT(Coffee_sales_clean[[#This Row],[Transaction Date]],"dddd")</f>
        <v>Sunday</v>
      </c>
      <c r="C1712" s="12">
        <v>45571</v>
      </c>
      <c r="D1712" s="4">
        <v>0.42064400462962964</v>
      </c>
      <c r="E17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12" t="s">
        <v>7</v>
      </c>
      <c r="G1712" s="2">
        <v>35.76</v>
      </c>
    </row>
    <row r="1713" spans="1:7" x14ac:dyDescent="0.25">
      <c r="A17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241006-MOR003</v>
      </c>
      <c r="B1713" s="1" t="str">
        <f>TEXT(Coffee_sales_clean[[#This Row],[Transaction Date]],"dddd")</f>
        <v>Sunday</v>
      </c>
      <c r="C1713" s="12">
        <v>45571</v>
      </c>
      <c r="D1713" s="4">
        <v>0.42137888888888891</v>
      </c>
      <c r="E17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13" t="s">
        <v>5</v>
      </c>
      <c r="G1713" s="2">
        <v>25.96</v>
      </c>
    </row>
    <row r="1714" spans="1:7" x14ac:dyDescent="0.25">
      <c r="A17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241006-LUN001</v>
      </c>
      <c r="B1714" s="1" t="str">
        <f>TEXT(Coffee_sales_clean[[#This Row],[Transaction Date]],"dddd")</f>
        <v>Sunday</v>
      </c>
      <c r="C1714" s="12">
        <v>45571</v>
      </c>
      <c r="D1714" s="4">
        <v>0.49686164351851853</v>
      </c>
      <c r="E17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14" t="s">
        <v>0</v>
      </c>
      <c r="G1714" s="2">
        <v>35.76</v>
      </c>
    </row>
    <row r="1715" spans="1:7" x14ac:dyDescent="0.25">
      <c r="A17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241006-LUN002</v>
      </c>
      <c r="B1715" s="1" t="str">
        <f>TEXT(Coffee_sales_clean[[#This Row],[Transaction Date]],"dddd")</f>
        <v>Sunday</v>
      </c>
      <c r="C1715" s="12">
        <v>45571</v>
      </c>
      <c r="D1715" s="4">
        <v>0.50629458333333333</v>
      </c>
      <c r="E17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15" t="s">
        <v>0</v>
      </c>
      <c r="G1715" s="2">
        <v>35.76</v>
      </c>
    </row>
    <row r="1716" spans="1:7" x14ac:dyDescent="0.25">
      <c r="A17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241006-LUN003</v>
      </c>
      <c r="B1716" s="1" t="str">
        <f>TEXT(Coffee_sales_clean[[#This Row],[Transaction Date]],"dddd")</f>
        <v>Sunday</v>
      </c>
      <c r="C1716" s="12">
        <v>45571</v>
      </c>
      <c r="D1716" s="4">
        <v>0.50714517361111111</v>
      </c>
      <c r="E17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16" t="s">
        <v>7</v>
      </c>
      <c r="G1716" s="2">
        <v>35.76</v>
      </c>
    </row>
    <row r="1717" spans="1:7" x14ac:dyDescent="0.25">
      <c r="A17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241006-LUN004</v>
      </c>
      <c r="B1717" s="1" t="str">
        <f>TEXT(Coffee_sales_clean[[#This Row],[Transaction Date]],"dddd")</f>
        <v>Sunday</v>
      </c>
      <c r="C1717" s="12">
        <v>45571</v>
      </c>
      <c r="D1717" s="4">
        <v>0.50814074074074078</v>
      </c>
      <c r="E17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17" t="s">
        <v>3</v>
      </c>
      <c r="G1717" s="2">
        <v>30.86</v>
      </c>
    </row>
    <row r="1718" spans="1:7" x14ac:dyDescent="0.25">
      <c r="A17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241006-LUN005</v>
      </c>
      <c r="B1718" s="1" t="str">
        <f>TEXT(Coffee_sales_clean[[#This Row],[Transaction Date]],"dddd")</f>
        <v>Sunday</v>
      </c>
      <c r="C1718" s="12">
        <v>45571</v>
      </c>
      <c r="D1718" s="4">
        <v>0.57365364583333334</v>
      </c>
      <c r="E17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18" t="s">
        <v>2</v>
      </c>
      <c r="G1718" s="2">
        <v>25.96</v>
      </c>
    </row>
    <row r="1719" spans="1:7" x14ac:dyDescent="0.25">
      <c r="A17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241006-LUN006</v>
      </c>
      <c r="B1719" s="1" t="str">
        <f>TEXT(Coffee_sales_clean[[#This Row],[Transaction Date]],"dddd")</f>
        <v>Sunday</v>
      </c>
      <c r="C1719" s="12">
        <v>45571</v>
      </c>
      <c r="D1719" s="4">
        <v>0.57432815972222218</v>
      </c>
      <c r="E17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19" t="s">
        <v>7</v>
      </c>
      <c r="G1719" s="2">
        <v>35.76</v>
      </c>
    </row>
    <row r="1720" spans="1:7" x14ac:dyDescent="0.25">
      <c r="A17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241006-LUN007</v>
      </c>
      <c r="B1720" s="1" t="str">
        <f>TEXT(Coffee_sales_clean[[#This Row],[Transaction Date]],"dddd")</f>
        <v>Sunday</v>
      </c>
      <c r="C1720" s="12">
        <v>45571</v>
      </c>
      <c r="D1720" s="4">
        <v>0.57639050925925928</v>
      </c>
      <c r="E17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20" t="s">
        <v>3</v>
      </c>
      <c r="G1720" s="2">
        <v>30.86</v>
      </c>
    </row>
    <row r="1721" spans="1:7" x14ac:dyDescent="0.25">
      <c r="A17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241006-LUN008</v>
      </c>
      <c r="B1721" s="1" t="str">
        <f>TEXT(Coffee_sales_clean[[#This Row],[Transaction Date]],"dddd")</f>
        <v>Sunday</v>
      </c>
      <c r="C1721" s="12">
        <v>45571</v>
      </c>
      <c r="D1721" s="4">
        <v>0.57713252314814811</v>
      </c>
      <c r="E17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21" t="s">
        <v>0</v>
      </c>
      <c r="G1721" s="2">
        <v>35.76</v>
      </c>
    </row>
    <row r="1722" spans="1:7" x14ac:dyDescent="0.25">
      <c r="A17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241006-LUN009</v>
      </c>
      <c r="B1722" s="1" t="str">
        <f>TEXT(Coffee_sales_clean[[#This Row],[Transaction Date]],"dddd")</f>
        <v>Sunday</v>
      </c>
      <c r="C1722" s="12">
        <v>45571</v>
      </c>
      <c r="D1722" s="4">
        <v>0.57773475694444443</v>
      </c>
      <c r="E17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22" t="s">
        <v>7</v>
      </c>
      <c r="G1722" s="2">
        <v>35.76</v>
      </c>
    </row>
    <row r="1723" spans="1:7" x14ac:dyDescent="0.25">
      <c r="A17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241006-AFT001</v>
      </c>
      <c r="B1723" s="1" t="str">
        <f>TEXT(Coffee_sales_clean[[#This Row],[Transaction Date]],"dddd")</f>
        <v>Sunday</v>
      </c>
      <c r="C1723" s="12">
        <v>45571</v>
      </c>
      <c r="D1723" s="4">
        <v>0.68858319444444449</v>
      </c>
      <c r="E17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23" t="s">
        <v>7</v>
      </c>
      <c r="G1723" s="2">
        <v>35.76</v>
      </c>
    </row>
    <row r="1724" spans="1:7" x14ac:dyDescent="0.25">
      <c r="A17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241006-AFT002</v>
      </c>
      <c r="B1724" s="1" t="str">
        <f>TEXT(Coffee_sales_clean[[#This Row],[Transaction Date]],"dddd")</f>
        <v>Sunday</v>
      </c>
      <c r="C1724" s="12">
        <v>45571</v>
      </c>
      <c r="D1724" s="4">
        <v>0.69150028935185182</v>
      </c>
      <c r="E17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24" t="s">
        <v>6</v>
      </c>
      <c r="G1724" s="2">
        <v>21.06</v>
      </c>
    </row>
    <row r="1725" spans="1:7" x14ac:dyDescent="0.25">
      <c r="A17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241006-EVE001</v>
      </c>
      <c r="B1725" s="1" t="str">
        <f>TEXT(Coffee_sales_clean[[#This Row],[Transaction Date]],"dddd")</f>
        <v>Sunday</v>
      </c>
      <c r="C1725" s="12">
        <v>45571</v>
      </c>
      <c r="D1725" s="4">
        <v>0.76232609953703701</v>
      </c>
      <c r="E17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25" t="s">
        <v>3</v>
      </c>
      <c r="G1725" s="2">
        <v>30.86</v>
      </c>
    </row>
    <row r="1726" spans="1:7" x14ac:dyDescent="0.25">
      <c r="A17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241006-EVE002</v>
      </c>
      <c r="B1726" s="1" t="str">
        <f>TEXT(Coffee_sales_clean[[#This Row],[Transaction Date]],"dddd")</f>
        <v>Sunday</v>
      </c>
      <c r="C1726" s="12">
        <v>45571</v>
      </c>
      <c r="D1726" s="4">
        <v>0.7744961574074074</v>
      </c>
      <c r="E17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26" t="s">
        <v>1</v>
      </c>
      <c r="G1726" s="2">
        <v>35.76</v>
      </c>
    </row>
    <row r="1727" spans="1:7" x14ac:dyDescent="0.25">
      <c r="A17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241006-LAT001</v>
      </c>
      <c r="B1727" s="1" t="str">
        <f>TEXT(Coffee_sales_clean[[#This Row],[Transaction Date]],"dddd")</f>
        <v>Sunday</v>
      </c>
      <c r="C1727" s="12">
        <v>45571</v>
      </c>
      <c r="D1727" s="4">
        <v>0.88139917824074077</v>
      </c>
      <c r="E17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27" t="s">
        <v>1</v>
      </c>
      <c r="G1727" s="2">
        <v>35.76</v>
      </c>
    </row>
    <row r="1728" spans="1:7" x14ac:dyDescent="0.25">
      <c r="A17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241006-LAT002</v>
      </c>
      <c r="B1728" s="1" t="str">
        <f>TEXT(Coffee_sales_clean[[#This Row],[Transaction Date]],"dddd")</f>
        <v>Sunday</v>
      </c>
      <c r="C1728" s="12">
        <v>45571</v>
      </c>
      <c r="D1728" s="4">
        <v>0.88194995370370366</v>
      </c>
      <c r="E17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28" t="s">
        <v>1</v>
      </c>
      <c r="G1728" s="2">
        <v>35.76</v>
      </c>
    </row>
    <row r="1729" spans="1:7" x14ac:dyDescent="0.25">
      <c r="A17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241006-LAT003</v>
      </c>
      <c r="B1729" s="1" t="str">
        <f>TEXT(Coffee_sales_clean[[#This Row],[Transaction Date]],"dddd")</f>
        <v>Sunday</v>
      </c>
      <c r="C1729" s="12">
        <v>45571</v>
      </c>
      <c r="D1729" s="4">
        <v>0.88246821759259264</v>
      </c>
      <c r="E17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29" t="s">
        <v>1</v>
      </c>
      <c r="G1729" s="2">
        <v>35.76</v>
      </c>
    </row>
    <row r="1730" spans="1:7" x14ac:dyDescent="0.25">
      <c r="A17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241006-LAT004</v>
      </c>
      <c r="B1730" s="1" t="str">
        <f>TEXT(Coffee_sales_clean[[#This Row],[Transaction Date]],"dddd")</f>
        <v>Sunday</v>
      </c>
      <c r="C1730" s="12">
        <v>45571</v>
      </c>
      <c r="D1730" s="4">
        <v>0.8866768055555555</v>
      </c>
      <c r="E17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30" t="s">
        <v>0</v>
      </c>
      <c r="G1730" s="2">
        <v>35.76</v>
      </c>
    </row>
    <row r="1731" spans="1:7" x14ac:dyDescent="0.25">
      <c r="A17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241007-MOR001</v>
      </c>
      <c r="B1731" s="1" t="str">
        <f>TEXT(Coffee_sales_clean[[#This Row],[Transaction Date]],"dddd")</f>
        <v>Monday</v>
      </c>
      <c r="C1731" s="12">
        <v>45572</v>
      </c>
      <c r="D1731" s="4">
        <v>0.35667156249999998</v>
      </c>
      <c r="E17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31" t="s">
        <v>0</v>
      </c>
      <c r="G1731" s="2">
        <v>35.76</v>
      </c>
    </row>
    <row r="1732" spans="1:7" x14ac:dyDescent="0.25">
      <c r="A17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241007-MOR002</v>
      </c>
      <c r="B1732" s="1" t="str">
        <f>TEXT(Coffee_sales_clean[[#This Row],[Transaction Date]],"dddd")</f>
        <v>Monday</v>
      </c>
      <c r="C1732" s="12">
        <v>45572</v>
      </c>
      <c r="D1732" s="4">
        <v>0.36778329861111109</v>
      </c>
      <c r="E17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32" t="s">
        <v>0</v>
      </c>
      <c r="G1732" s="2">
        <v>35.76</v>
      </c>
    </row>
    <row r="1733" spans="1:7" x14ac:dyDescent="0.25">
      <c r="A17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241007-MOR003</v>
      </c>
      <c r="B1733" s="1" t="str">
        <f>TEXT(Coffee_sales_clean[[#This Row],[Transaction Date]],"dddd")</f>
        <v>Monday</v>
      </c>
      <c r="C1733" s="12">
        <v>45572</v>
      </c>
      <c r="D1733" s="4">
        <v>0.36853782407407409</v>
      </c>
      <c r="E17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33" t="s">
        <v>3</v>
      </c>
      <c r="G1733" s="2">
        <v>30.86</v>
      </c>
    </row>
    <row r="1734" spans="1:7" x14ac:dyDescent="0.25">
      <c r="A17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241007-MOR004</v>
      </c>
      <c r="B1734" s="1" t="str">
        <f>TEXT(Coffee_sales_clean[[#This Row],[Transaction Date]],"dddd")</f>
        <v>Monday</v>
      </c>
      <c r="C1734" s="12">
        <v>45572</v>
      </c>
      <c r="D1734" s="4">
        <v>0.37879734953703703</v>
      </c>
      <c r="E17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34" t="s">
        <v>4</v>
      </c>
      <c r="G1734" s="2">
        <v>35.76</v>
      </c>
    </row>
    <row r="1735" spans="1:7" x14ac:dyDescent="0.25">
      <c r="A17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241007-MOR005</v>
      </c>
      <c r="B1735" s="1" t="str">
        <f>TEXT(Coffee_sales_clean[[#This Row],[Transaction Date]],"dddd")</f>
        <v>Monday</v>
      </c>
      <c r="C1735" s="12">
        <v>45572</v>
      </c>
      <c r="D1735" s="4">
        <v>0.38192503472222222</v>
      </c>
      <c r="E17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35" t="s">
        <v>0</v>
      </c>
      <c r="G1735" s="2">
        <v>35.76</v>
      </c>
    </row>
    <row r="1736" spans="1:7" x14ac:dyDescent="0.25">
      <c r="A17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241007-LUN001</v>
      </c>
      <c r="B1736" s="1" t="str">
        <f>TEXT(Coffee_sales_clean[[#This Row],[Transaction Date]],"dddd")</f>
        <v>Monday</v>
      </c>
      <c r="C1736" s="12">
        <v>45572</v>
      </c>
      <c r="D1736" s="4">
        <v>0.51246200231481487</v>
      </c>
      <c r="E17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36" t="s">
        <v>3</v>
      </c>
      <c r="G1736" s="2">
        <v>30.86</v>
      </c>
    </row>
    <row r="1737" spans="1:7" x14ac:dyDescent="0.25">
      <c r="A17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241007-AFT001</v>
      </c>
      <c r="B1737" s="1" t="str">
        <f>TEXT(Coffee_sales_clean[[#This Row],[Transaction Date]],"dddd")</f>
        <v>Monday</v>
      </c>
      <c r="C1737" s="12">
        <v>45572</v>
      </c>
      <c r="D1737" s="4">
        <v>0.60538493055555553</v>
      </c>
      <c r="E17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37" t="s">
        <v>2</v>
      </c>
      <c r="G1737" s="2">
        <v>25.96</v>
      </c>
    </row>
    <row r="1738" spans="1:7" x14ac:dyDescent="0.25">
      <c r="A17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241007-AFT002</v>
      </c>
      <c r="B1738" s="1" t="str">
        <f>TEXT(Coffee_sales_clean[[#This Row],[Transaction Date]],"dddd")</f>
        <v>Monday</v>
      </c>
      <c r="C1738" s="12">
        <v>45572</v>
      </c>
      <c r="D1738" s="4">
        <v>0.60600422453703706</v>
      </c>
      <c r="E17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38" t="s">
        <v>2</v>
      </c>
      <c r="G1738" s="2">
        <v>25.96</v>
      </c>
    </row>
    <row r="1739" spans="1:7" x14ac:dyDescent="0.25">
      <c r="A17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241007-EVE001</v>
      </c>
      <c r="B1739" s="1" t="str">
        <f>TEXT(Coffee_sales_clean[[#This Row],[Transaction Date]],"dddd")</f>
        <v>Monday</v>
      </c>
      <c r="C1739" s="12">
        <v>45572</v>
      </c>
      <c r="D1739" s="4">
        <v>0.74230331018518514</v>
      </c>
      <c r="E17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39" t="s">
        <v>0</v>
      </c>
      <c r="G1739" s="2">
        <v>35.76</v>
      </c>
    </row>
    <row r="1740" spans="1:7" x14ac:dyDescent="0.25">
      <c r="A17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241007-LAT001</v>
      </c>
      <c r="B1740" s="1" t="str">
        <f>TEXT(Coffee_sales_clean[[#This Row],[Transaction Date]],"dddd")</f>
        <v>Monday</v>
      </c>
      <c r="C1740" s="12">
        <v>45572</v>
      </c>
      <c r="D1740" s="4">
        <v>0.88520983796296293</v>
      </c>
      <c r="E17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40" t="s">
        <v>1</v>
      </c>
      <c r="G1740" s="2">
        <v>35.76</v>
      </c>
    </row>
    <row r="1741" spans="1:7" x14ac:dyDescent="0.25">
      <c r="A17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241007-LAT002</v>
      </c>
      <c r="B1741" s="1" t="str">
        <f>TEXT(Coffee_sales_clean[[#This Row],[Transaction Date]],"dddd")</f>
        <v>Monday</v>
      </c>
      <c r="C1741" s="12">
        <v>45572</v>
      </c>
      <c r="D1741" s="4">
        <v>0.88564956018518515</v>
      </c>
      <c r="E17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41" t="s">
        <v>1</v>
      </c>
      <c r="G1741" s="2">
        <v>35.76</v>
      </c>
    </row>
    <row r="1742" spans="1:7" x14ac:dyDescent="0.25">
      <c r="A17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241007-LAT003</v>
      </c>
      <c r="B1742" s="1" t="str">
        <f>TEXT(Coffee_sales_clean[[#This Row],[Transaction Date]],"dddd")</f>
        <v>Monday</v>
      </c>
      <c r="C1742" s="12">
        <v>45572</v>
      </c>
      <c r="D1742" s="4">
        <v>0.90333929398148149</v>
      </c>
      <c r="E17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42" t="s">
        <v>0</v>
      </c>
      <c r="G1742" s="2">
        <v>35.76</v>
      </c>
    </row>
    <row r="1743" spans="1:7" x14ac:dyDescent="0.25">
      <c r="A17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241008-MOR001</v>
      </c>
      <c r="B1743" s="1" t="str">
        <f>TEXT(Coffee_sales_clean[[#This Row],[Transaction Date]],"dddd")</f>
        <v>Tuesday</v>
      </c>
      <c r="C1743" s="12">
        <v>45573</v>
      </c>
      <c r="D1743" s="4">
        <v>0.34156115740740739</v>
      </c>
      <c r="E17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43" t="s">
        <v>0</v>
      </c>
      <c r="G1743" s="2">
        <v>35.76</v>
      </c>
    </row>
    <row r="1744" spans="1:7" x14ac:dyDescent="0.25">
      <c r="A17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241008-MOR002</v>
      </c>
      <c r="B1744" s="1" t="str">
        <f>TEXT(Coffee_sales_clean[[#This Row],[Transaction Date]],"dddd")</f>
        <v>Tuesday</v>
      </c>
      <c r="C1744" s="12">
        <v>45573</v>
      </c>
      <c r="D1744" s="4">
        <v>0.37863457175925924</v>
      </c>
      <c r="E17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44" t="s">
        <v>3</v>
      </c>
      <c r="G1744" s="2">
        <v>30.86</v>
      </c>
    </row>
    <row r="1745" spans="1:7" x14ac:dyDescent="0.25">
      <c r="A17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241008-MOR003</v>
      </c>
      <c r="B1745" s="1" t="str">
        <f>TEXT(Coffee_sales_clean[[#This Row],[Transaction Date]],"dddd")</f>
        <v>Tuesday</v>
      </c>
      <c r="C1745" s="12">
        <v>45573</v>
      </c>
      <c r="D1745" s="4">
        <v>0.43230756944444443</v>
      </c>
      <c r="E17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45" t="s">
        <v>2</v>
      </c>
      <c r="G1745" s="2">
        <v>25.96</v>
      </c>
    </row>
    <row r="1746" spans="1:7" x14ac:dyDescent="0.25">
      <c r="A17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241008-MOR004</v>
      </c>
      <c r="B1746" s="1" t="str">
        <f>TEXT(Coffee_sales_clean[[#This Row],[Transaction Date]],"dddd")</f>
        <v>Tuesday</v>
      </c>
      <c r="C1746" s="12">
        <v>45573</v>
      </c>
      <c r="D1746" s="4">
        <v>0.4355187152777778</v>
      </c>
      <c r="E17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46" t="s">
        <v>0</v>
      </c>
      <c r="G1746" s="2">
        <v>35.76</v>
      </c>
    </row>
    <row r="1747" spans="1:7" x14ac:dyDescent="0.25">
      <c r="A17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241008-LUN001</v>
      </c>
      <c r="B1747" s="1" t="str">
        <f>TEXT(Coffee_sales_clean[[#This Row],[Transaction Date]],"dddd")</f>
        <v>Tuesday</v>
      </c>
      <c r="C1747" s="12">
        <v>45573</v>
      </c>
      <c r="D1747" s="4">
        <v>0.47928533564814813</v>
      </c>
      <c r="E17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47" t="s">
        <v>0</v>
      </c>
      <c r="G1747" s="2">
        <v>35.76</v>
      </c>
    </row>
    <row r="1748" spans="1:7" x14ac:dyDescent="0.25">
      <c r="A17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241008-LUN002</v>
      </c>
      <c r="B1748" s="1" t="str">
        <f>TEXT(Coffee_sales_clean[[#This Row],[Transaction Date]],"dddd")</f>
        <v>Tuesday</v>
      </c>
      <c r="C1748" s="12">
        <v>45573</v>
      </c>
      <c r="D1748" s="4">
        <v>0.53338564814814815</v>
      </c>
      <c r="E17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48" t="s">
        <v>2</v>
      </c>
      <c r="G1748" s="2">
        <v>25.96</v>
      </c>
    </row>
    <row r="1749" spans="1:7" x14ac:dyDescent="0.25">
      <c r="A17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241008-LUN003</v>
      </c>
      <c r="B1749" s="1" t="str">
        <f>TEXT(Coffee_sales_clean[[#This Row],[Transaction Date]],"dddd")</f>
        <v>Tuesday</v>
      </c>
      <c r="C1749" s="12">
        <v>45573</v>
      </c>
      <c r="D1749" s="4">
        <v>0.53408079861111113</v>
      </c>
      <c r="E17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49" t="s">
        <v>2</v>
      </c>
      <c r="G1749" s="2">
        <v>25.96</v>
      </c>
    </row>
    <row r="1750" spans="1:7" x14ac:dyDescent="0.25">
      <c r="A17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241008-LUN004</v>
      </c>
      <c r="B1750" s="1" t="str">
        <f>TEXT(Coffee_sales_clean[[#This Row],[Transaction Date]],"dddd")</f>
        <v>Tuesday</v>
      </c>
      <c r="C1750" s="12">
        <v>45573</v>
      </c>
      <c r="D1750" s="4">
        <v>0.54445491898148146</v>
      </c>
      <c r="E17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50" t="s">
        <v>0</v>
      </c>
      <c r="G1750" s="2">
        <v>35.76</v>
      </c>
    </row>
    <row r="1751" spans="1:7" x14ac:dyDescent="0.25">
      <c r="A17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241008-LUN005</v>
      </c>
      <c r="B1751" s="1" t="str">
        <f>TEXT(Coffee_sales_clean[[#This Row],[Transaction Date]],"dddd")</f>
        <v>Tuesday</v>
      </c>
      <c r="C1751" s="12">
        <v>45573</v>
      </c>
      <c r="D1751" s="4">
        <v>0.54513245370370367</v>
      </c>
      <c r="E17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51" t="s">
        <v>0</v>
      </c>
      <c r="G1751" s="2">
        <v>35.76</v>
      </c>
    </row>
    <row r="1752" spans="1:7" x14ac:dyDescent="0.25">
      <c r="A17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241008-AFT001</v>
      </c>
      <c r="B1752" s="1" t="str">
        <f>TEXT(Coffee_sales_clean[[#This Row],[Transaction Date]],"dddd")</f>
        <v>Tuesday</v>
      </c>
      <c r="C1752" s="12">
        <v>45573</v>
      </c>
      <c r="D1752" s="4">
        <v>0.61310677083333331</v>
      </c>
      <c r="E17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52" t="s">
        <v>0</v>
      </c>
      <c r="G1752" s="2">
        <v>35.76</v>
      </c>
    </row>
    <row r="1753" spans="1:7" x14ac:dyDescent="0.25">
      <c r="A17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241008-AFT002</v>
      </c>
      <c r="B1753" s="1" t="str">
        <f>TEXT(Coffee_sales_clean[[#This Row],[Transaction Date]],"dddd")</f>
        <v>Tuesday</v>
      </c>
      <c r="C1753" s="12">
        <v>45573</v>
      </c>
      <c r="D1753" s="4">
        <v>0.63450405092592588</v>
      </c>
      <c r="E17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53" t="s">
        <v>0</v>
      </c>
      <c r="G1753" s="2">
        <v>35.76</v>
      </c>
    </row>
    <row r="1754" spans="1:7" x14ac:dyDescent="0.25">
      <c r="A17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241008-AFT003</v>
      </c>
      <c r="B1754" s="1" t="str">
        <f>TEXT(Coffee_sales_clean[[#This Row],[Transaction Date]],"dddd")</f>
        <v>Tuesday</v>
      </c>
      <c r="C1754" s="12">
        <v>45573</v>
      </c>
      <c r="D1754" s="4">
        <v>0.63879748842592587</v>
      </c>
      <c r="E17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54" t="s">
        <v>2</v>
      </c>
      <c r="G1754" s="2">
        <v>25.96</v>
      </c>
    </row>
    <row r="1755" spans="1:7" x14ac:dyDescent="0.25">
      <c r="A17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241008-AFT004</v>
      </c>
      <c r="B1755" s="1" t="str">
        <f>TEXT(Coffee_sales_clean[[#This Row],[Transaction Date]],"dddd")</f>
        <v>Tuesday</v>
      </c>
      <c r="C1755" s="12">
        <v>45573</v>
      </c>
      <c r="D1755" s="4">
        <v>0.6602213194444444</v>
      </c>
      <c r="E17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55" t="s">
        <v>3</v>
      </c>
      <c r="G1755" s="2">
        <v>30.86</v>
      </c>
    </row>
    <row r="1756" spans="1:7" x14ac:dyDescent="0.25">
      <c r="A17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241008-LAT001</v>
      </c>
      <c r="B1756" s="1" t="str">
        <f>TEXT(Coffee_sales_clean[[#This Row],[Transaction Date]],"dddd")</f>
        <v>Tuesday</v>
      </c>
      <c r="C1756" s="12">
        <v>45573</v>
      </c>
      <c r="D1756" s="4">
        <v>0.86157938657407407</v>
      </c>
      <c r="E17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56" t="s">
        <v>1</v>
      </c>
      <c r="G1756" s="2">
        <v>35.76</v>
      </c>
    </row>
    <row r="1757" spans="1:7" x14ac:dyDescent="0.25">
      <c r="A17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241008-LAT002</v>
      </c>
      <c r="B1757" s="1" t="str">
        <f>TEXT(Coffee_sales_clean[[#This Row],[Transaction Date]],"dddd")</f>
        <v>Tuesday</v>
      </c>
      <c r="C1757" s="12">
        <v>45573</v>
      </c>
      <c r="D1757" s="4">
        <v>0.8621928703703704</v>
      </c>
      <c r="E17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57" t="s">
        <v>7</v>
      </c>
      <c r="G1757" s="2">
        <v>35.76</v>
      </c>
    </row>
    <row r="1758" spans="1:7" x14ac:dyDescent="0.25">
      <c r="A17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241008-LAT003</v>
      </c>
      <c r="B1758" s="1" t="str">
        <f>TEXT(Coffee_sales_clean[[#This Row],[Transaction Date]],"dddd")</f>
        <v>Tuesday</v>
      </c>
      <c r="C1758" s="12">
        <v>45573</v>
      </c>
      <c r="D1758" s="4">
        <v>0.86885094907407412</v>
      </c>
      <c r="E17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58" t="s">
        <v>0</v>
      </c>
      <c r="G1758" s="2">
        <v>35.76</v>
      </c>
    </row>
    <row r="1759" spans="1:7" x14ac:dyDescent="0.25">
      <c r="A17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241008-LAT004</v>
      </c>
      <c r="B1759" s="1" t="str">
        <f>TEXT(Coffee_sales_clean[[#This Row],[Transaction Date]],"dddd")</f>
        <v>Tuesday</v>
      </c>
      <c r="C1759" s="12">
        <v>45573</v>
      </c>
      <c r="D1759" s="4">
        <v>0.89203746527777783</v>
      </c>
      <c r="E17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59" t="s">
        <v>3</v>
      </c>
      <c r="G1759" s="2">
        <v>30.86</v>
      </c>
    </row>
    <row r="1760" spans="1:7" x14ac:dyDescent="0.25">
      <c r="A17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241008-LAT005</v>
      </c>
      <c r="B1760" s="1" t="str">
        <f>TEXT(Coffee_sales_clean[[#This Row],[Transaction Date]],"dddd")</f>
        <v>Tuesday</v>
      </c>
      <c r="C1760" s="12">
        <v>45573</v>
      </c>
      <c r="D1760" s="4">
        <v>0.89273148148148151</v>
      </c>
      <c r="E17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60" t="s">
        <v>3</v>
      </c>
      <c r="G1760" s="2">
        <v>30.86</v>
      </c>
    </row>
    <row r="1761" spans="1:7" x14ac:dyDescent="0.25">
      <c r="A17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241009-MOR001</v>
      </c>
      <c r="B1761" s="1" t="str">
        <f>TEXT(Coffee_sales_clean[[#This Row],[Transaction Date]],"dddd")</f>
        <v>Wednesday</v>
      </c>
      <c r="C1761" s="12">
        <v>45574</v>
      </c>
      <c r="D1761" s="4">
        <v>0.32965971064814814</v>
      </c>
      <c r="E17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61" t="s">
        <v>0</v>
      </c>
      <c r="G1761" s="2">
        <v>35.76</v>
      </c>
    </row>
    <row r="1762" spans="1:7" x14ac:dyDescent="0.25">
      <c r="A17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241009-MOR002</v>
      </c>
      <c r="B1762" s="1" t="str">
        <f>TEXT(Coffee_sales_clean[[#This Row],[Transaction Date]],"dddd")</f>
        <v>Wednesday</v>
      </c>
      <c r="C1762" s="12">
        <v>45574</v>
      </c>
      <c r="D1762" s="4">
        <v>0.35136005787037039</v>
      </c>
      <c r="E17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62" t="s">
        <v>3</v>
      </c>
      <c r="G1762" s="2">
        <v>30.86</v>
      </c>
    </row>
    <row r="1763" spans="1:7" x14ac:dyDescent="0.25">
      <c r="A17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241009-MOR003</v>
      </c>
      <c r="B1763" s="1" t="str">
        <f>TEXT(Coffee_sales_clean[[#This Row],[Transaction Date]],"dddd")</f>
        <v>Wednesday</v>
      </c>
      <c r="C1763" s="12">
        <v>45574</v>
      </c>
      <c r="D1763" s="4">
        <v>0.40510450231481482</v>
      </c>
      <c r="E17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63" t="s">
        <v>3</v>
      </c>
      <c r="G1763" s="2">
        <v>30.86</v>
      </c>
    </row>
    <row r="1764" spans="1:7" x14ac:dyDescent="0.25">
      <c r="A17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241009-MOR004</v>
      </c>
      <c r="B1764" s="1" t="str">
        <f>TEXT(Coffee_sales_clean[[#This Row],[Transaction Date]],"dddd")</f>
        <v>Wednesday</v>
      </c>
      <c r="C1764" s="12">
        <v>45574</v>
      </c>
      <c r="D1764" s="4">
        <v>0.41643484953703702</v>
      </c>
      <c r="E17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64" t="s">
        <v>0</v>
      </c>
      <c r="G1764" s="2">
        <v>35.76</v>
      </c>
    </row>
    <row r="1765" spans="1:7" x14ac:dyDescent="0.25">
      <c r="A17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241009-MOR005</v>
      </c>
      <c r="B1765" s="1" t="str">
        <f>TEXT(Coffee_sales_clean[[#This Row],[Transaction Date]],"dddd")</f>
        <v>Wednesday</v>
      </c>
      <c r="C1765" s="12">
        <v>45574</v>
      </c>
      <c r="D1765" s="4">
        <v>0.44301997685185185</v>
      </c>
      <c r="E17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65" t="s">
        <v>6</v>
      </c>
      <c r="G1765" s="2">
        <v>21.06</v>
      </c>
    </row>
    <row r="1766" spans="1:7" x14ac:dyDescent="0.25">
      <c r="A17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241009-LUN001</v>
      </c>
      <c r="B1766" s="1" t="str">
        <f>TEXT(Coffee_sales_clean[[#This Row],[Transaction Date]],"dddd")</f>
        <v>Wednesday</v>
      </c>
      <c r="C1766" s="12">
        <v>45574</v>
      </c>
      <c r="D1766" s="4">
        <v>0.47085807870370372</v>
      </c>
      <c r="E17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66" t="s">
        <v>2</v>
      </c>
      <c r="G1766" s="2">
        <v>25.96</v>
      </c>
    </row>
    <row r="1767" spans="1:7" x14ac:dyDescent="0.25">
      <c r="A17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241009-LUN002</v>
      </c>
      <c r="B1767" s="1" t="str">
        <f>TEXT(Coffee_sales_clean[[#This Row],[Transaction Date]],"dddd")</f>
        <v>Wednesday</v>
      </c>
      <c r="C1767" s="12">
        <v>45574</v>
      </c>
      <c r="D1767" s="4">
        <v>0.54384854166666663</v>
      </c>
      <c r="E17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67" t="s">
        <v>0</v>
      </c>
      <c r="G1767" s="2">
        <v>35.76</v>
      </c>
    </row>
    <row r="1768" spans="1:7" x14ac:dyDescent="0.25">
      <c r="A17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241009-LUN003</v>
      </c>
      <c r="B1768" s="1" t="str">
        <f>TEXT(Coffee_sales_clean[[#This Row],[Transaction Date]],"dddd")</f>
        <v>Wednesday</v>
      </c>
      <c r="C1768" s="12">
        <v>45574</v>
      </c>
      <c r="D1768" s="4">
        <v>0.57817981481481484</v>
      </c>
      <c r="E17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68" t="s">
        <v>3</v>
      </c>
      <c r="G1768" s="2">
        <v>30.86</v>
      </c>
    </row>
    <row r="1769" spans="1:7" x14ac:dyDescent="0.25">
      <c r="A17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241009-EVE001</v>
      </c>
      <c r="B1769" s="1" t="str">
        <f>TEXT(Coffee_sales_clean[[#This Row],[Transaction Date]],"dddd")</f>
        <v>Wednesday</v>
      </c>
      <c r="C1769" s="12">
        <v>45574</v>
      </c>
      <c r="D1769" s="4">
        <v>0.72690244212962962</v>
      </c>
      <c r="E17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69" t="s">
        <v>7</v>
      </c>
      <c r="G1769" s="2">
        <v>35.76</v>
      </c>
    </row>
    <row r="1770" spans="1:7" x14ac:dyDescent="0.25">
      <c r="A17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241009-EVE002</v>
      </c>
      <c r="B1770" s="1" t="str">
        <f>TEXT(Coffee_sales_clean[[#This Row],[Transaction Date]],"dddd")</f>
        <v>Wednesday</v>
      </c>
      <c r="C1770" s="12">
        <v>45574</v>
      </c>
      <c r="D1770" s="4">
        <v>0.72764907407407409</v>
      </c>
      <c r="E17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70" t="s">
        <v>2</v>
      </c>
      <c r="G1770" s="2">
        <v>25.96</v>
      </c>
    </row>
    <row r="1771" spans="1:7" x14ac:dyDescent="0.25">
      <c r="A17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241009-EVE003</v>
      </c>
      <c r="B1771" s="1" t="str">
        <f>TEXT(Coffee_sales_clean[[#This Row],[Transaction Date]],"dddd")</f>
        <v>Wednesday</v>
      </c>
      <c r="C1771" s="12">
        <v>45574</v>
      </c>
      <c r="D1771" s="4">
        <v>0.74305037037037036</v>
      </c>
      <c r="E17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71" t="s">
        <v>6</v>
      </c>
      <c r="G1771" s="2">
        <v>21.06</v>
      </c>
    </row>
    <row r="1772" spans="1:7" x14ac:dyDescent="0.25">
      <c r="A17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241009-LAT001</v>
      </c>
      <c r="B1772" s="1" t="str">
        <f>TEXT(Coffee_sales_clean[[#This Row],[Transaction Date]],"dddd")</f>
        <v>Wednesday</v>
      </c>
      <c r="C1772" s="12">
        <v>45574</v>
      </c>
      <c r="D1772" s="4">
        <v>0.86750578703703707</v>
      </c>
      <c r="E17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72" t="s">
        <v>7</v>
      </c>
      <c r="G1772" s="2">
        <v>35.76</v>
      </c>
    </row>
    <row r="1773" spans="1:7" x14ac:dyDescent="0.25">
      <c r="A17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241010-MOR001</v>
      </c>
      <c r="B1773" s="1" t="str">
        <f>TEXT(Coffee_sales_clean[[#This Row],[Transaction Date]],"dddd")</f>
        <v>Thursday</v>
      </c>
      <c r="C1773" s="12">
        <v>45575</v>
      </c>
      <c r="D1773" s="4">
        <v>0.36674652777777778</v>
      </c>
      <c r="E17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73" t="s">
        <v>2</v>
      </c>
      <c r="G1773" s="2">
        <v>25.96</v>
      </c>
    </row>
    <row r="1774" spans="1:7" x14ac:dyDescent="0.25">
      <c r="A17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241010-MOR002</v>
      </c>
      <c r="B1774" s="1" t="str">
        <f>TEXT(Coffee_sales_clean[[#This Row],[Transaction Date]],"dddd")</f>
        <v>Thursday</v>
      </c>
      <c r="C1774" s="12">
        <v>45575</v>
      </c>
      <c r="D1774" s="4">
        <v>0.39120506944444444</v>
      </c>
      <c r="E17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74" t="s">
        <v>3</v>
      </c>
      <c r="G1774" s="2">
        <v>30.86</v>
      </c>
    </row>
    <row r="1775" spans="1:7" x14ac:dyDescent="0.25">
      <c r="A17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241010-MOR003</v>
      </c>
      <c r="B1775" s="1" t="str">
        <f>TEXT(Coffee_sales_clean[[#This Row],[Transaction Date]],"dddd")</f>
        <v>Thursday</v>
      </c>
      <c r="C1775" s="12">
        <v>45575</v>
      </c>
      <c r="D1775" s="4">
        <v>0.41092836805555555</v>
      </c>
      <c r="E17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75" t="s">
        <v>1</v>
      </c>
      <c r="G1775" s="2">
        <v>35.76</v>
      </c>
    </row>
    <row r="1776" spans="1:7" x14ac:dyDescent="0.25">
      <c r="A17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241010-MOR004</v>
      </c>
      <c r="B1776" s="1" t="str">
        <f>TEXT(Coffee_sales_clean[[#This Row],[Transaction Date]],"dddd")</f>
        <v>Thursday</v>
      </c>
      <c r="C1776" s="12">
        <v>45575</v>
      </c>
      <c r="D1776" s="4">
        <v>0.42024877314814812</v>
      </c>
      <c r="E17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76" t="s">
        <v>0</v>
      </c>
      <c r="G1776" s="2">
        <v>35.76</v>
      </c>
    </row>
    <row r="1777" spans="1:7" x14ac:dyDescent="0.25">
      <c r="A17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241010-MOR005</v>
      </c>
      <c r="B1777" s="1" t="str">
        <f>TEXT(Coffee_sales_clean[[#This Row],[Transaction Date]],"dddd")</f>
        <v>Thursday</v>
      </c>
      <c r="C1777" s="12">
        <v>45575</v>
      </c>
      <c r="D1777" s="4">
        <v>0.44633153935185182</v>
      </c>
      <c r="E17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77" t="s">
        <v>5</v>
      </c>
      <c r="G1777" s="2">
        <v>25.96</v>
      </c>
    </row>
    <row r="1778" spans="1:7" x14ac:dyDescent="0.25">
      <c r="A17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241010-MOR006</v>
      </c>
      <c r="B1778" s="1" t="str">
        <f>TEXT(Coffee_sales_clean[[#This Row],[Transaction Date]],"dddd")</f>
        <v>Thursday</v>
      </c>
      <c r="C1778" s="12">
        <v>45575</v>
      </c>
      <c r="D1778" s="4">
        <v>0.44687530092592592</v>
      </c>
      <c r="E17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78" t="s">
        <v>5</v>
      </c>
      <c r="G1778" s="2">
        <v>25.96</v>
      </c>
    </row>
    <row r="1779" spans="1:7" x14ac:dyDescent="0.25">
      <c r="A17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241010-MOR007</v>
      </c>
      <c r="B1779" s="1" t="str">
        <f>TEXT(Coffee_sales_clean[[#This Row],[Transaction Date]],"dddd")</f>
        <v>Thursday</v>
      </c>
      <c r="C1779" s="12">
        <v>45575</v>
      </c>
      <c r="D1779" s="4">
        <v>0.45523861111111114</v>
      </c>
      <c r="E17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79" t="s">
        <v>0</v>
      </c>
      <c r="G1779" s="2">
        <v>35.76</v>
      </c>
    </row>
    <row r="1780" spans="1:7" x14ac:dyDescent="0.25">
      <c r="A17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241010-LUN001</v>
      </c>
      <c r="B1780" s="1" t="str">
        <f>TEXT(Coffee_sales_clean[[#This Row],[Transaction Date]],"dddd")</f>
        <v>Thursday</v>
      </c>
      <c r="C1780" s="12">
        <v>45575</v>
      </c>
      <c r="D1780" s="4">
        <v>0.46133505787037038</v>
      </c>
      <c r="E17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780" t="s">
        <v>0</v>
      </c>
      <c r="G1780" s="2">
        <v>35.76</v>
      </c>
    </row>
    <row r="1781" spans="1:7" x14ac:dyDescent="0.25">
      <c r="A17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241010-AFT001</v>
      </c>
      <c r="B1781" s="1" t="str">
        <f>TEXT(Coffee_sales_clean[[#This Row],[Transaction Date]],"dddd")</f>
        <v>Thursday</v>
      </c>
      <c r="C1781" s="12">
        <v>45575</v>
      </c>
      <c r="D1781" s="4">
        <v>0.6289687268518519</v>
      </c>
      <c r="E17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781" t="s">
        <v>7</v>
      </c>
      <c r="G1781" s="2">
        <v>35.76</v>
      </c>
    </row>
    <row r="1782" spans="1:7" x14ac:dyDescent="0.25">
      <c r="A17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241010-EVE001</v>
      </c>
      <c r="B1782" s="1" t="str">
        <f>TEXT(Coffee_sales_clean[[#This Row],[Transaction Date]],"dddd")</f>
        <v>Thursday</v>
      </c>
      <c r="C1782" s="12">
        <v>45575</v>
      </c>
      <c r="D1782" s="4">
        <v>0.73662481481481479</v>
      </c>
      <c r="E17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82" t="s">
        <v>0</v>
      </c>
      <c r="G1782" s="2">
        <v>35.76</v>
      </c>
    </row>
    <row r="1783" spans="1:7" x14ac:dyDescent="0.25">
      <c r="A17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241010-EVE002</v>
      </c>
      <c r="B1783" s="1" t="str">
        <f>TEXT(Coffee_sales_clean[[#This Row],[Transaction Date]],"dddd")</f>
        <v>Thursday</v>
      </c>
      <c r="C1783" s="12">
        <v>45575</v>
      </c>
      <c r="D1783" s="4">
        <v>0.76287859953703707</v>
      </c>
      <c r="E17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83" t="s">
        <v>2</v>
      </c>
      <c r="G1783" s="2">
        <v>25.96</v>
      </c>
    </row>
    <row r="1784" spans="1:7" x14ac:dyDescent="0.25">
      <c r="A17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241010-EVE003</v>
      </c>
      <c r="B1784" s="1" t="str">
        <f>TEXT(Coffee_sales_clean[[#This Row],[Transaction Date]],"dddd")</f>
        <v>Thursday</v>
      </c>
      <c r="C1784" s="12">
        <v>45575</v>
      </c>
      <c r="D1784" s="4">
        <v>0.78924418981481481</v>
      </c>
      <c r="E17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84" t="s">
        <v>3</v>
      </c>
      <c r="G1784" s="2">
        <v>30.86</v>
      </c>
    </row>
    <row r="1785" spans="1:7" x14ac:dyDescent="0.25">
      <c r="A17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241010-EVE004</v>
      </c>
      <c r="B1785" s="1" t="str">
        <f>TEXT(Coffee_sales_clean[[#This Row],[Transaction Date]],"dddd")</f>
        <v>Thursday</v>
      </c>
      <c r="C1785" s="12">
        <v>45575</v>
      </c>
      <c r="D1785" s="4">
        <v>0.78999130787037042</v>
      </c>
      <c r="E17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785" t="s">
        <v>0</v>
      </c>
      <c r="G1785" s="2">
        <v>35.76</v>
      </c>
    </row>
    <row r="1786" spans="1:7" x14ac:dyDescent="0.25">
      <c r="A17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241010-LAT001</v>
      </c>
      <c r="B1786" s="1" t="str">
        <f>TEXT(Coffee_sales_clean[[#This Row],[Transaction Date]],"dddd")</f>
        <v>Thursday</v>
      </c>
      <c r="C1786" s="12">
        <v>45575</v>
      </c>
      <c r="D1786" s="4">
        <v>0.93977981481481476</v>
      </c>
      <c r="E17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86" t="s">
        <v>1</v>
      </c>
      <c r="G1786" s="2">
        <v>35.76</v>
      </c>
    </row>
    <row r="1787" spans="1:7" x14ac:dyDescent="0.25">
      <c r="A17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241010-LAT002</v>
      </c>
      <c r="B1787" s="1" t="str">
        <f>TEXT(Coffee_sales_clean[[#This Row],[Transaction Date]],"dddd")</f>
        <v>Thursday</v>
      </c>
      <c r="C1787" s="12">
        <v>45575</v>
      </c>
      <c r="D1787" s="4">
        <v>0.94027464120370374</v>
      </c>
      <c r="E17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787" t="s">
        <v>1</v>
      </c>
      <c r="G1787" s="2">
        <v>35.76</v>
      </c>
    </row>
    <row r="1788" spans="1:7" x14ac:dyDescent="0.25">
      <c r="A17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241011-MOR001</v>
      </c>
      <c r="B1788" s="1" t="str">
        <f>TEXT(Coffee_sales_clean[[#This Row],[Transaction Date]],"dddd")</f>
        <v>Friday</v>
      </c>
      <c r="C1788" s="12">
        <v>45576</v>
      </c>
      <c r="D1788" s="4">
        <v>0.32976365740740743</v>
      </c>
      <c r="E17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88" t="s">
        <v>3</v>
      </c>
      <c r="G1788" s="2">
        <v>30.86</v>
      </c>
    </row>
    <row r="1789" spans="1:7" x14ac:dyDescent="0.25">
      <c r="A17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241011-MOR002</v>
      </c>
      <c r="B1789" s="1" t="str">
        <f>TEXT(Coffee_sales_clean[[#This Row],[Transaction Date]],"dddd")</f>
        <v>Friday</v>
      </c>
      <c r="C1789" s="12">
        <v>45576</v>
      </c>
      <c r="D1789" s="4">
        <v>0.3339228935185185</v>
      </c>
      <c r="E17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89" t="s">
        <v>0</v>
      </c>
      <c r="G1789" s="2">
        <v>35.76</v>
      </c>
    </row>
    <row r="1790" spans="1:7" x14ac:dyDescent="0.25">
      <c r="A17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241011-MOR003</v>
      </c>
      <c r="B1790" s="1" t="str">
        <f>TEXT(Coffee_sales_clean[[#This Row],[Transaction Date]],"dddd")</f>
        <v>Friday</v>
      </c>
      <c r="C1790" s="12">
        <v>45576</v>
      </c>
      <c r="D1790" s="4">
        <v>0.34190108796296298</v>
      </c>
      <c r="E17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0" t="s">
        <v>5</v>
      </c>
      <c r="G1790" s="2">
        <v>25.96</v>
      </c>
    </row>
    <row r="1791" spans="1:7" x14ac:dyDescent="0.25">
      <c r="A17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241011-MOR004</v>
      </c>
      <c r="B1791" s="1" t="str">
        <f>TEXT(Coffee_sales_clean[[#This Row],[Transaction Date]],"dddd")</f>
        <v>Friday</v>
      </c>
      <c r="C1791" s="12">
        <v>45576</v>
      </c>
      <c r="D1791" s="4">
        <v>0.35299625000000001</v>
      </c>
      <c r="E17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1" t="s">
        <v>0</v>
      </c>
      <c r="G1791" s="2">
        <v>35.76</v>
      </c>
    </row>
    <row r="1792" spans="1:7" x14ac:dyDescent="0.25">
      <c r="A17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241011-MOR005</v>
      </c>
      <c r="B1792" s="1" t="str">
        <f>TEXT(Coffee_sales_clean[[#This Row],[Transaction Date]],"dddd")</f>
        <v>Friday</v>
      </c>
      <c r="C1792" s="12">
        <v>45576</v>
      </c>
      <c r="D1792" s="4">
        <v>0.35373136574074077</v>
      </c>
      <c r="E17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2" t="s">
        <v>4</v>
      </c>
      <c r="G1792" s="2">
        <v>35.76</v>
      </c>
    </row>
    <row r="1793" spans="1:7" x14ac:dyDescent="0.25">
      <c r="A17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241011-MOR006</v>
      </c>
      <c r="B1793" s="1" t="str">
        <f>TEXT(Coffee_sales_clean[[#This Row],[Transaction Date]],"dddd")</f>
        <v>Friday</v>
      </c>
      <c r="C1793" s="12">
        <v>45576</v>
      </c>
      <c r="D1793" s="4">
        <v>0.37203457175925925</v>
      </c>
      <c r="E17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3" t="s">
        <v>4</v>
      </c>
      <c r="G1793" s="2">
        <v>35.76</v>
      </c>
    </row>
    <row r="1794" spans="1:7" x14ac:dyDescent="0.25">
      <c r="A17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241011-MOR007</v>
      </c>
      <c r="B1794" s="1" t="str">
        <f>TEXT(Coffee_sales_clean[[#This Row],[Transaction Date]],"dddd")</f>
        <v>Friday</v>
      </c>
      <c r="C1794" s="12">
        <v>45576</v>
      </c>
      <c r="D1794" s="4">
        <v>0.37290252314814815</v>
      </c>
      <c r="E17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4" t="s">
        <v>3</v>
      </c>
      <c r="G1794" s="2">
        <v>30.86</v>
      </c>
    </row>
    <row r="1795" spans="1:7" x14ac:dyDescent="0.25">
      <c r="A17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241011-MOR008</v>
      </c>
      <c r="B1795" s="1" t="str">
        <f>TEXT(Coffee_sales_clean[[#This Row],[Transaction Date]],"dddd")</f>
        <v>Friday</v>
      </c>
      <c r="C1795" s="12">
        <v>45576</v>
      </c>
      <c r="D1795" s="4">
        <v>0.37371645833333333</v>
      </c>
      <c r="E17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5" t="s">
        <v>1</v>
      </c>
      <c r="G1795" s="2">
        <v>35.76</v>
      </c>
    </row>
    <row r="1796" spans="1:7" x14ac:dyDescent="0.25">
      <c r="A17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241011-MOR009</v>
      </c>
      <c r="B1796" s="1" t="str">
        <f>TEXT(Coffee_sales_clean[[#This Row],[Transaction Date]],"dddd")</f>
        <v>Friday</v>
      </c>
      <c r="C1796" s="12">
        <v>45576</v>
      </c>
      <c r="D1796" s="4">
        <v>0.39701780092592592</v>
      </c>
      <c r="E17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6" t="s">
        <v>3</v>
      </c>
      <c r="G1796" s="2">
        <v>30.86</v>
      </c>
    </row>
    <row r="1797" spans="1:7" x14ac:dyDescent="0.25">
      <c r="A17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241011-MOR010</v>
      </c>
      <c r="B1797" s="1" t="str">
        <f>TEXT(Coffee_sales_clean[[#This Row],[Transaction Date]],"dddd")</f>
        <v>Friday</v>
      </c>
      <c r="C1797" s="12">
        <v>45576</v>
      </c>
      <c r="D1797" s="4">
        <v>0.40193202546296297</v>
      </c>
      <c r="E17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7" t="s">
        <v>5</v>
      </c>
      <c r="G1797" s="2">
        <v>25.96</v>
      </c>
    </row>
    <row r="1798" spans="1:7" x14ac:dyDescent="0.25">
      <c r="A17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241011-MOR011</v>
      </c>
      <c r="B1798" s="1" t="str">
        <f>TEXT(Coffee_sales_clean[[#This Row],[Transaction Date]],"dddd")</f>
        <v>Friday</v>
      </c>
      <c r="C1798" s="12">
        <v>45576</v>
      </c>
      <c r="D1798" s="4">
        <v>0.41713396990740742</v>
      </c>
      <c r="E17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8" t="s">
        <v>2</v>
      </c>
      <c r="G1798" s="2">
        <v>25.96</v>
      </c>
    </row>
    <row r="1799" spans="1:7" x14ac:dyDescent="0.25">
      <c r="A17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241011-MOR012</v>
      </c>
      <c r="B1799" s="1" t="str">
        <f>TEXT(Coffee_sales_clean[[#This Row],[Transaction Date]],"dddd")</f>
        <v>Friday</v>
      </c>
      <c r="C1799" s="12">
        <v>45576</v>
      </c>
      <c r="D1799" s="4">
        <v>0.41799621527777781</v>
      </c>
      <c r="E17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799" t="s">
        <v>2</v>
      </c>
      <c r="G1799" s="2">
        <v>25.96</v>
      </c>
    </row>
    <row r="1800" spans="1:7" x14ac:dyDescent="0.25">
      <c r="A18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241011-MOR013</v>
      </c>
      <c r="B1800" s="1" t="str">
        <f>TEXT(Coffee_sales_clean[[#This Row],[Transaction Date]],"dddd")</f>
        <v>Friday</v>
      </c>
      <c r="C1800" s="12">
        <v>45576</v>
      </c>
      <c r="D1800" s="4">
        <v>0.43791633101851851</v>
      </c>
      <c r="E18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00" t="s">
        <v>3</v>
      </c>
      <c r="G1800" s="2">
        <v>30.86</v>
      </c>
    </row>
    <row r="1801" spans="1:7" x14ac:dyDescent="0.25">
      <c r="A18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241011-LUN001</v>
      </c>
      <c r="B1801" s="1" t="str">
        <f>TEXT(Coffee_sales_clean[[#This Row],[Transaction Date]],"dddd")</f>
        <v>Friday</v>
      </c>
      <c r="C1801" s="12">
        <v>45576</v>
      </c>
      <c r="D1801" s="4">
        <v>0.54515512731481486</v>
      </c>
      <c r="E18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01" t="s">
        <v>0</v>
      </c>
      <c r="G1801" s="2">
        <v>35.76</v>
      </c>
    </row>
    <row r="1802" spans="1:7" x14ac:dyDescent="0.25">
      <c r="A18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241011-LUN002</v>
      </c>
      <c r="B1802" s="1" t="str">
        <f>TEXT(Coffee_sales_clean[[#This Row],[Transaction Date]],"dddd")</f>
        <v>Friday</v>
      </c>
      <c r="C1802" s="12">
        <v>45576</v>
      </c>
      <c r="D1802" s="4">
        <v>0.56183399305555559</v>
      </c>
      <c r="E18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02" t="s">
        <v>2</v>
      </c>
      <c r="G1802" s="2">
        <v>25.96</v>
      </c>
    </row>
    <row r="1803" spans="1:7" x14ac:dyDescent="0.25">
      <c r="A18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241011-LUN003</v>
      </c>
      <c r="B1803" s="1" t="str">
        <f>TEXT(Coffee_sales_clean[[#This Row],[Transaction Date]],"dddd")</f>
        <v>Friday</v>
      </c>
      <c r="C1803" s="12">
        <v>45576</v>
      </c>
      <c r="D1803" s="4">
        <v>0.56260440972222225</v>
      </c>
      <c r="E18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03" t="s">
        <v>2</v>
      </c>
      <c r="G1803" s="2">
        <v>25.96</v>
      </c>
    </row>
    <row r="1804" spans="1:7" x14ac:dyDescent="0.25">
      <c r="A18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241011-AFT001</v>
      </c>
      <c r="B1804" s="1" t="str">
        <f>TEXT(Coffee_sales_clean[[#This Row],[Transaction Date]],"dddd")</f>
        <v>Friday</v>
      </c>
      <c r="C1804" s="12">
        <v>45576</v>
      </c>
      <c r="D1804" s="4">
        <v>0.60671915509259255</v>
      </c>
      <c r="E18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04" t="s">
        <v>4</v>
      </c>
      <c r="G1804" s="2">
        <v>35.76</v>
      </c>
    </row>
    <row r="1805" spans="1:7" x14ac:dyDescent="0.25">
      <c r="A18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241011-AFT002</v>
      </c>
      <c r="B1805" s="1" t="str">
        <f>TEXT(Coffee_sales_clean[[#This Row],[Transaction Date]],"dddd")</f>
        <v>Friday</v>
      </c>
      <c r="C1805" s="12">
        <v>45576</v>
      </c>
      <c r="D1805" s="4">
        <v>0.6079781481481481</v>
      </c>
      <c r="E18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05" t="s">
        <v>2</v>
      </c>
      <c r="G1805" s="2">
        <v>25.96</v>
      </c>
    </row>
    <row r="1806" spans="1:7" x14ac:dyDescent="0.25">
      <c r="A18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241011-AFT003</v>
      </c>
      <c r="B1806" s="1" t="str">
        <f>TEXT(Coffee_sales_clean[[#This Row],[Transaction Date]],"dddd")</f>
        <v>Friday</v>
      </c>
      <c r="C1806" s="12">
        <v>45576</v>
      </c>
      <c r="D1806" s="4">
        <v>0.6181569560185185</v>
      </c>
      <c r="E18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06" t="s">
        <v>7</v>
      </c>
      <c r="G1806" s="2">
        <v>35.76</v>
      </c>
    </row>
    <row r="1807" spans="1:7" x14ac:dyDescent="0.25">
      <c r="A18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241011-EVE001</v>
      </c>
      <c r="B1807" s="1" t="str">
        <f>TEXT(Coffee_sales_clean[[#This Row],[Transaction Date]],"dddd")</f>
        <v>Friday</v>
      </c>
      <c r="C1807" s="12">
        <v>45576</v>
      </c>
      <c r="D1807" s="4">
        <v>0.71675153935185187</v>
      </c>
      <c r="E18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07" t="s">
        <v>0</v>
      </c>
      <c r="G1807" s="2">
        <v>35.76</v>
      </c>
    </row>
    <row r="1808" spans="1:7" x14ac:dyDescent="0.25">
      <c r="A18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241011-EVE002</v>
      </c>
      <c r="B1808" s="1" t="str">
        <f>TEXT(Coffee_sales_clean[[#This Row],[Transaction Date]],"dddd")</f>
        <v>Friday</v>
      </c>
      <c r="C1808" s="12">
        <v>45576</v>
      </c>
      <c r="D1808" s="4">
        <v>0.71761107638888888</v>
      </c>
      <c r="E18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08" t="s">
        <v>1</v>
      </c>
      <c r="G1808" s="2">
        <v>35.76</v>
      </c>
    </row>
    <row r="1809" spans="1:7" x14ac:dyDescent="0.25">
      <c r="A18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241011-EVE003</v>
      </c>
      <c r="B1809" s="1" t="str">
        <f>TEXT(Coffee_sales_clean[[#This Row],[Transaction Date]],"dddd")</f>
        <v>Friday</v>
      </c>
      <c r="C1809" s="12">
        <v>45576</v>
      </c>
      <c r="D1809" s="4">
        <v>0.72651812500000001</v>
      </c>
      <c r="E18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09" t="s">
        <v>1</v>
      </c>
      <c r="G1809" s="2">
        <v>35.76</v>
      </c>
    </row>
    <row r="1810" spans="1:7" x14ac:dyDescent="0.25">
      <c r="A18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241011-LAT001</v>
      </c>
      <c r="B1810" s="1" t="str">
        <f>TEXT(Coffee_sales_clean[[#This Row],[Transaction Date]],"dddd")</f>
        <v>Friday</v>
      </c>
      <c r="C1810" s="12">
        <v>45576</v>
      </c>
      <c r="D1810" s="4">
        <v>0.90876990740740737</v>
      </c>
      <c r="E18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10" t="s">
        <v>0</v>
      </c>
      <c r="G1810" s="2">
        <v>35.76</v>
      </c>
    </row>
    <row r="1811" spans="1:7" x14ac:dyDescent="0.25">
      <c r="A18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241011-LAT002</v>
      </c>
      <c r="B1811" s="1" t="str">
        <f>TEXT(Coffee_sales_clean[[#This Row],[Transaction Date]],"dddd")</f>
        <v>Friday</v>
      </c>
      <c r="C1811" s="12">
        <v>45576</v>
      </c>
      <c r="D1811" s="4">
        <v>0.91242600694444442</v>
      </c>
      <c r="E18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11" t="s">
        <v>3</v>
      </c>
      <c r="G1811" s="2">
        <v>30.86</v>
      </c>
    </row>
    <row r="1812" spans="1:7" x14ac:dyDescent="0.25">
      <c r="A18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241011-LAT003</v>
      </c>
      <c r="B1812" s="1" t="str">
        <f>TEXT(Coffee_sales_clean[[#This Row],[Transaction Date]],"dddd")</f>
        <v>Friday</v>
      </c>
      <c r="C1812" s="12">
        <v>45576</v>
      </c>
      <c r="D1812" s="4">
        <v>0.9419864930555556</v>
      </c>
      <c r="E18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12" t="s">
        <v>1</v>
      </c>
      <c r="G1812" s="2">
        <v>35.76</v>
      </c>
    </row>
    <row r="1813" spans="1:7" x14ac:dyDescent="0.25">
      <c r="A18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241011-LAT004</v>
      </c>
      <c r="B1813" s="1" t="str">
        <f>TEXT(Coffee_sales_clean[[#This Row],[Transaction Date]],"dddd")</f>
        <v>Friday</v>
      </c>
      <c r="C1813" s="12">
        <v>45576</v>
      </c>
      <c r="D1813" s="4">
        <v>0.94267015046296299</v>
      </c>
      <c r="E18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13" t="s">
        <v>1</v>
      </c>
      <c r="G1813" s="2">
        <v>35.76</v>
      </c>
    </row>
    <row r="1814" spans="1:7" x14ac:dyDescent="0.25">
      <c r="A18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241012-MOR001</v>
      </c>
      <c r="B1814" s="1" t="str">
        <f>TEXT(Coffee_sales_clean[[#This Row],[Transaction Date]],"dddd")</f>
        <v>Saturday</v>
      </c>
      <c r="C1814" s="12">
        <v>45577</v>
      </c>
      <c r="D1814" s="4">
        <v>0.35295738425925927</v>
      </c>
      <c r="E18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14" t="s">
        <v>5</v>
      </c>
      <c r="G1814" s="2">
        <v>25.96</v>
      </c>
    </row>
    <row r="1815" spans="1:7" x14ac:dyDescent="0.25">
      <c r="A18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241012-MOR002</v>
      </c>
      <c r="B1815" s="1" t="str">
        <f>TEXT(Coffee_sales_clean[[#This Row],[Transaction Date]],"dddd")</f>
        <v>Saturday</v>
      </c>
      <c r="C1815" s="12">
        <v>45577</v>
      </c>
      <c r="D1815" s="4">
        <v>0.43864466435185184</v>
      </c>
      <c r="E18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15" t="s">
        <v>5</v>
      </c>
      <c r="G1815" s="2">
        <v>25.96</v>
      </c>
    </row>
    <row r="1816" spans="1:7" x14ac:dyDescent="0.25">
      <c r="A18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241012-MOR003</v>
      </c>
      <c r="B1816" s="1" t="str">
        <f>TEXT(Coffee_sales_clean[[#This Row],[Transaction Date]],"dddd")</f>
        <v>Saturday</v>
      </c>
      <c r="C1816" s="12">
        <v>45577</v>
      </c>
      <c r="D1816" s="4">
        <v>0.43953150462962964</v>
      </c>
      <c r="E18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16" t="s">
        <v>5</v>
      </c>
      <c r="G1816" s="2">
        <v>25.96</v>
      </c>
    </row>
    <row r="1817" spans="1:7" x14ac:dyDescent="0.25">
      <c r="A18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241012-LUN001</v>
      </c>
      <c r="B1817" s="1" t="str">
        <f>TEXT(Coffee_sales_clean[[#This Row],[Transaction Date]],"dddd")</f>
        <v>Saturday</v>
      </c>
      <c r="C1817" s="12">
        <v>45577</v>
      </c>
      <c r="D1817" s="4">
        <v>0.49462383101851853</v>
      </c>
      <c r="E18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17" t="s">
        <v>0</v>
      </c>
      <c r="G1817" s="2">
        <v>35.76</v>
      </c>
    </row>
    <row r="1818" spans="1:7" x14ac:dyDescent="0.25">
      <c r="A18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241012-LUN002</v>
      </c>
      <c r="B1818" s="1" t="str">
        <f>TEXT(Coffee_sales_clean[[#This Row],[Transaction Date]],"dddd")</f>
        <v>Saturday</v>
      </c>
      <c r="C1818" s="12">
        <v>45577</v>
      </c>
      <c r="D1818" s="4">
        <v>0.4956145023148148</v>
      </c>
      <c r="E18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18" t="s">
        <v>3</v>
      </c>
      <c r="G1818" s="2">
        <v>30.86</v>
      </c>
    </row>
    <row r="1819" spans="1:7" x14ac:dyDescent="0.25">
      <c r="A18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241012-LUN003</v>
      </c>
      <c r="B1819" s="1" t="str">
        <f>TEXT(Coffee_sales_clean[[#This Row],[Transaction Date]],"dddd")</f>
        <v>Saturday</v>
      </c>
      <c r="C1819" s="12">
        <v>45577</v>
      </c>
      <c r="D1819" s="4">
        <v>0.5547112847222222</v>
      </c>
      <c r="E18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19" t="s">
        <v>7</v>
      </c>
      <c r="G1819" s="2">
        <v>35.76</v>
      </c>
    </row>
    <row r="1820" spans="1:7" x14ac:dyDescent="0.25">
      <c r="A18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241012-LAT001</v>
      </c>
      <c r="B1820" s="1" t="str">
        <f>TEXT(Coffee_sales_clean[[#This Row],[Transaction Date]],"dddd")</f>
        <v>Saturday</v>
      </c>
      <c r="C1820" s="12">
        <v>45577</v>
      </c>
      <c r="D1820" s="4">
        <v>0.84090175925925925</v>
      </c>
      <c r="E18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20" t="s">
        <v>0</v>
      </c>
      <c r="G1820" s="2">
        <v>35.76</v>
      </c>
    </row>
    <row r="1821" spans="1:7" x14ac:dyDescent="0.25">
      <c r="A18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241013-MOR001</v>
      </c>
      <c r="B1821" s="1" t="str">
        <f>TEXT(Coffee_sales_clean[[#This Row],[Transaction Date]],"dddd")</f>
        <v>Sunday</v>
      </c>
      <c r="C1821" s="12">
        <v>45578</v>
      </c>
      <c r="D1821" s="4">
        <v>0.41313873842592591</v>
      </c>
      <c r="E18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21" t="s">
        <v>5</v>
      </c>
      <c r="G1821" s="2">
        <v>25.96</v>
      </c>
    </row>
    <row r="1822" spans="1:7" x14ac:dyDescent="0.25">
      <c r="A18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241013-LUN001</v>
      </c>
      <c r="B1822" s="1" t="str">
        <f>TEXT(Coffee_sales_clean[[#This Row],[Transaction Date]],"dddd")</f>
        <v>Sunday</v>
      </c>
      <c r="C1822" s="12">
        <v>45578</v>
      </c>
      <c r="D1822" s="4">
        <v>0.5144281828703704</v>
      </c>
      <c r="E18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22" t="s">
        <v>3</v>
      </c>
      <c r="G1822" s="2">
        <v>30.86</v>
      </c>
    </row>
    <row r="1823" spans="1:7" x14ac:dyDescent="0.25">
      <c r="A18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241013-LUN002</v>
      </c>
      <c r="B1823" s="1" t="str">
        <f>TEXT(Coffee_sales_clean[[#This Row],[Transaction Date]],"dddd")</f>
        <v>Sunday</v>
      </c>
      <c r="C1823" s="12">
        <v>45578</v>
      </c>
      <c r="D1823" s="4">
        <v>0.56423055555555557</v>
      </c>
      <c r="E18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23" t="s">
        <v>5</v>
      </c>
      <c r="G1823" s="2">
        <v>25.96</v>
      </c>
    </row>
    <row r="1824" spans="1:7" x14ac:dyDescent="0.25">
      <c r="A18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241013-LUN003</v>
      </c>
      <c r="B1824" s="1" t="str">
        <f>TEXT(Coffee_sales_clean[[#This Row],[Transaction Date]],"dddd")</f>
        <v>Sunday</v>
      </c>
      <c r="C1824" s="12">
        <v>45578</v>
      </c>
      <c r="D1824" s="4">
        <v>0.56492343749999996</v>
      </c>
      <c r="E18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24" t="s">
        <v>6</v>
      </c>
      <c r="G1824" s="2">
        <v>21.06</v>
      </c>
    </row>
    <row r="1825" spans="1:7" x14ac:dyDescent="0.25">
      <c r="A18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241013-LUN004</v>
      </c>
      <c r="B1825" s="1" t="str">
        <f>TEXT(Coffee_sales_clean[[#This Row],[Transaction Date]],"dddd")</f>
        <v>Sunday</v>
      </c>
      <c r="C1825" s="12">
        <v>45578</v>
      </c>
      <c r="D1825" s="4">
        <v>0.56557762731481487</v>
      </c>
      <c r="E18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25" t="s">
        <v>5</v>
      </c>
      <c r="G1825" s="2">
        <v>25.96</v>
      </c>
    </row>
    <row r="1826" spans="1:7" x14ac:dyDescent="0.25">
      <c r="A18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241013-EVE001</v>
      </c>
      <c r="B1826" s="1" t="str">
        <f>TEXT(Coffee_sales_clean[[#This Row],[Transaction Date]],"dddd")</f>
        <v>Sunday</v>
      </c>
      <c r="C1826" s="12">
        <v>45578</v>
      </c>
      <c r="D1826" s="4">
        <v>0.74537866898148153</v>
      </c>
      <c r="E18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26" t="s">
        <v>0</v>
      </c>
      <c r="G1826" s="2">
        <v>35.76</v>
      </c>
    </row>
    <row r="1827" spans="1:7" x14ac:dyDescent="0.25">
      <c r="A18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241013-EVE002</v>
      </c>
      <c r="B1827" s="1" t="str">
        <f>TEXT(Coffee_sales_clean[[#This Row],[Transaction Date]],"dddd")</f>
        <v>Sunday</v>
      </c>
      <c r="C1827" s="12">
        <v>45578</v>
      </c>
      <c r="D1827" s="4">
        <v>0.74609293981481484</v>
      </c>
      <c r="E18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27" t="s">
        <v>0</v>
      </c>
      <c r="G1827" s="2">
        <v>35.76</v>
      </c>
    </row>
    <row r="1828" spans="1:7" x14ac:dyDescent="0.25">
      <c r="A18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241013-EVE003</v>
      </c>
      <c r="B1828" s="1" t="str">
        <f>TEXT(Coffee_sales_clean[[#This Row],[Transaction Date]],"dddd")</f>
        <v>Sunday</v>
      </c>
      <c r="C1828" s="12">
        <v>45578</v>
      </c>
      <c r="D1828" s="4">
        <v>0.76595855324074069</v>
      </c>
      <c r="E18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28" t="s">
        <v>7</v>
      </c>
      <c r="G1828" s="2">
        <v>35.76</v>
      </c>
    </row>
    <row r="1829" spans="1:7" x14ac:dyDescent="0.25">
      <c r="A18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241013-LAT001</v>
      </c>
      <c r="B1829" s="1" t="str">
        <f>TEXT(Coffee_sales_clean[[#This Row],[Transaction Date]],"dddd")</f>
        <v>Sunday</v>
      </c>
      <c r="C1829" s="12">
        <v>45578</v>
      </c>
      <c r="D1829" s="4">
        <v>0.86325148148148145</v>
      </c>
      <c r="E18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29" t="s">
        <v>7</v>
      </c>
      <c r="G1829" s="2">
        <v>35.76</v>
      </c>
    </row>
    <row r="1830" spans="1:7" x14ac:dyDescent="0.25">
      <c r="A18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241014-MOR001</v>
      </c>
      <c r="B1830" s="1" t="str">
        <f>TEXT(Coffee_sales_clean[[#This Row],[Transaction Date]],"dddd")</f>
        <v>Monday</v>
      </c>
      <c r="C1830" s="12">
        <v>45579</v>
      </c>
      <c r="D1830" s="4">
        <v>0.35202128472222222</v>
      </c>
      <c r="E18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30" t="s">
        <v>3</v>
      </c>
      <c r="G1830" s="2">
        <v>30.86</v>
      </c>
    </row>
    <row r="1831" spans="1:7" x14ac:dyDescent="0.25">
      <c r="A18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241014-MOR002</v>
      </c>
      <c r="B1831" s="1" t="str">
        <f>TEXT(Coffee_sales_clean[[#This Row],[Transaction Date]],"dddd")</f>
        <v>Monday</v>
      </c>
      <c r="C1831" s="12">
        <v>45579</v>
      </c>
      <c r="D1831" s="4">
        <v>0.4096591550925926</v>
      </c>
      <c r="E18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31" t="s">
        <v>4</v>
      </c>
      <c r="G1831" s="2">
        <v>35.76</v>
      </c>
    </row>
    <row r="1832" spans="1:7" x14ac:dyDescent="0.25">
      <c r="A18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241014-MOR003</v>
      </c>
      <c r="B1832" s="1" t="str">
        <f>TEXT(Coffee_sales_clean[[#This Row],[Transaction Date]],"dddd")</f>
        <v>Monday</v>
      </c>
      <c r="C1832" s="12">
        <v>45579</v>
      </c>
      <c r="D1832" s="4">
        <v>0.43600817129629632</v>
      </c>
      <c r="E18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32" t="s">
        <v>5</v>
      </c>
      <c r="G1832" s="2">
        <v>25.96</v>
      </c>
    </row>
    <row r="1833" spans="1:7" x14ac:dyDescent="0.25">
      <c r="A18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241014-MOR004</v>
      </c>
      <c r="B1833" s="1" t="str">
        <f>TEXT(Coffee_sales_clean[[#This Row],[Transaction Date]],"dddd")</f>
        <v>Monday</v>
      </c>
      <c r="C1833" s="12">
        <v>45579</v>
      </c>
      <c r="D1833" s="4">
        <v>0.44313377314814817</v>
      </c>
      <c r="E18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33" t="s">
        <v>0</v>
      </c>
      <c r="G1833" s="2">
        <v>35.76</v>
      </c>
    </row>
    <row r="1834" spans="1:7" x14ac:dyDescent="0.25">
      <c r="A18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241014-MOR005</v>
      </c>
      <c r="B1834" s="1" t="str">
        <f>TEXT(Coffee_sales_clean[[#This Row],[Transaction Date]],"dddd")</f>
        <v>Monday</v>
      </c>
      <c r="C1834" s="12">
        <v>45579</v>
      </c>
      <c r="D1834" s="4">
        <v>0.44390875000000002</v>
      </c>
      <c r="E18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34" t="s">
        <v>0</v>
      </c>
      <c r="G1834" s="2">
        <v>35.76</v>
      </c>
    </row>
    <row r="1835" spans="1:7" x14ac:dyDescent="0.25">
      <c r="A18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241014-LUN001</v>
      </c>
      <c r="B1835" s="1" t="str">
        <f>TEXT(Coffee_sales_clean[[#This Row],[Transaction Date]],"dddd")</f>
        <v>Monday</v>
      </c>
      <c r="C1835" s="12">
        <v>45579</v>
      </c>
      <c r="D1835" s="4">
        <v>0.47489092592592591</v>
      </c>
      <c r="E18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35" t="s">
        <v>7</v>
      </c>
      <c r="G1835" s="2">
        <v>35.76</v>
      </c>
    </row>
    <row r="1836" spans="1:7" x14ac:dyDescent="0.25">
      <c r="A18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241014-LUN002</v>
      </c>
      <c r="B1836" s="1" t="str">
        <f>TEXT(Coffee_sales_clean[[#This Row],[Transaction Date]],"dddd")</f>
        <v>Monday</v>
      </c>
      <c r="C1836" s="12">
        <v>45579</v>
      </c>
      <c r="D1836" s="4">
        <v>0.47612614583333335</v>
      </c>
      <c r="E18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36" t="s">
        <v>2</v>
      </c>
      <c r="G1836" s="2">
        <v>25.96</v>
      </c>
    </row>
    <row r="1837" spans="1:7" x14ac:dyDescent="0.25">
      <c r="A18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241014-LUN003</v>
      </c>
      <c r="B1837" s="1" t="str">
        <f>TEXT(Coffee_sales_clean[[#This Row],[Transaction Date]],"dddd")</f>
        <v>Monday</v>
      </c>
      <c r="C1837" s="12">
        <v>45579</v>
      </c>
      <c r="D1837" s="4">
        <v>0.47691255787037035</v>
      </c>
      <c r="E18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37" t="s">
        <v>2</v>
      </c>
      <c r="G1837" s="2">
        <v>25.96</v>
      </c>
    </row>
    <row r="1838" spans="1:7" x14ac:dyDescent="0.25">
      <c r="A18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241014-AFT001</v>
      </c>
      <c r="B1838" s="1" t="str">
        <f>TEXT(Coffee_sales_clean[[#This Row],[Transaction Date]],"dddd")</f>
        <v>Monday</v>
      </c>
      <c r="C1838" s="12">
        <v>45579</v>
      </c>
      <c r="D1838" s="4">
        <v>0.60841592592592597</v>
      </c>
      <c r="E18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38" t="s">
        <v>0</v>
      </c>
      <c r="G1838" s="2">
        <v>35.76</v>
      </c>
    </row>
    <row r="1839" spans="1:7" x14ac:dyDescent="0.25">
      <c r="A18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241014-AFT002</v>
      </c>
      <c r="B1839" s="1" t="str">
        <f>TEXT(Coffee_sales_clean[[#This Row],[Transaction Date]],"dddd")</f>
        <v>Monday</v>
      </c>
      <c r="C1839" s="12">
        <v>45579</v>
      </c>
      <c r="D1839" s="4">
        <v>0.61795673611111113</v>
      </c>
      <c r="E18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39" t="s">
        <v>0</v>
      </c>
      <c r="G1839" s="2">
        <v>35.76</v>
      </c>
    </row>
    <row r="1840" spans="1:7" x14ac:dyDescent="0.25">
      <c r="A18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241014-AFT003</v>
      </c>
      <c r="B1840" s="1" t="str">
        <f>TEXT(Coffee_sales_clean[[#This Row],[Transaction Date]],"dddd")</f>
        <v>Monday</v>
      </c>
      <c r="C1840" s="12">
        <v>45579</v>
      </c>
      <c r="D1840" s="4">
        <v>0.69291048611111106</v>
      </c>
      <c r="E18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40" t="s">
        <v>2</v>
      </c>
      <c r="G1840" s="2">
        <v>25.96</v>
      </c>
    </row>
    <row r="1841" spans="1:7" x14ac:dyDescent="0.25">
      <c r="A18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241014-EVE001</v>
      </c>
      <c r="B1841" s="1" t="str">
        <f>TEXT(Coffee_sales_clean[[#This Row],[Transaction Date]],"dddd")</f>
        <v>Monday</v>
      </c>
      <c r="C1841" s="12">
        <v>45579</v>
      </c>
      <c r="D1841" s="4">
        <v>0.76341656250000001</v>
      </c>
      <c r="E18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41" t="s">
        <v>0</v>
      </c>
      <c r="G1841" s="2">
        <v>35.76</v>
      </c>
    </row>
    <row r="1842" spans="1:7" x14ac:dyDescent="0.25">
      <c r="A18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241014-EVE002</v>
      </c>
      <c r="B1842" s="1" t="str">
        <f>TEXT(Coffee_sales_clean[[#This Row],[Transaction Date]],"dddd")</f>
        <v>Monday</v>
      </c>
      <c r="C1842" s="12">
        <v>45579</v>
      </c>
      <c r="D1842" s="4">
        <v>0.76412712962962959</v>
      </c>
      <c r="E18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42" t="s">
        <v>7</v>
      </c>
      <c r="G1842" s="2">
        <v>35.76</v>
      </c>
    </row>
    <row r="1843" spans="1:7" x14ac:dyDescent="0.25">
      <c r="A18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241014-LAT001</v>
      </c>
      <c r="B1843" s="1" t="str">
        <f>TEXT(Coffee_sales_clean[[#This Row],[Transaction Date]],"dddd")</f>
        <v>Monday</v>
      </c>
      <c r="C1843" s="12">
        <v>45579</v>
      </c>
      <c r="D1843" s="4">
        <v>0.92284409722222227</v>
      </c>
      <c r="E18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43" t="s">
        <v>0</v>
      </c>
      <c r="G1843" s="2">
        <v>35.76</v>
      </c>
    </row>
    <row r="1844" spans="1:7" x14ac:dyDescent="0.25">
      <c r="A18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241014-LAT002</v>
      </c>
      <c r="B1844" s="1" t="str">
        <f>TEXT(Coffee_sales_clean[[#This Row],[Transaction Date]],"dddd")</f>
        <v>Monday</v>
      </c>
      <c r="C1844" s="12">
        <v>45579</v>
      </c>
      <c r="D1844" s="4">
        <v>0.92388509259259255</v>
      </c>
      <c r="E18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44" t="s">
        <v>0</v>
      </c>
      <c r="G1844" s="2">
        <v>35.76</v>
      </c>
    </row>
    <row r="1845" spans="1:7" x14ac:dyDescent="0.25">
      <c r="A18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241014-LAT003</v>
      </c>
      <c r="B1845" s="1" t="str">
        <f>TEXT(Coffee_sales_clean[[#This Row],[Transaction Date]],"dddd")</f>
        <v>Monday</v>
      </c>
      <c r="C1845" s="12">
        <v>45579</v>
      </c>
      <c r="D1845" s="4">
        <v>0.93187343749999996</v>
      </c>
      <c r="E18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45" t="s">
        <v>0</v>
      </c>
      <c r="G1845" s="2">
        <v>35.76</v>
      </c>
    </row>
    <row r="1846" spans="1:7" x14ac:dyDescent="0.25">
      <c r="A18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241015-MOR001</v>
      </c>
      <c r="B1846" s="1" t="str">
        <f>TEXT(Coffee_sales_clean[[#This Row],[Transaction Date]],"dddd")</f>
        <v>Tuesday</v>
      </c>
      <c r="C1846" s="12">
        <v>45580</v>
      </c>
      <c r="D1846" s="4">
        <v>0.34338734953703703</v>
      </c>
      <c r="E18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46" t="s">
        <v>5</v>
      </c>
      <c r="G1846" s="2">
        <v>25.96</v>
      </c>
    </row>
    <row r="1847" spans="1:7" x14ac:dyDescent="0.25">
      <c r="A18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241015-MOR002</v>
      </c>
      <c r="B1847" s="1" t="str">
        <f>TEXT(Coffee_sales_clean[[#This Row],[Transaction Date]],"dddd")</f>
        <v>Tuesday</v>
      </c>
      <c r="C1847" s="12">
        <v>45580</v>
      </c>
      <c r="D1847" s="4">
        <v>0.35715123842592594</v>
      </c>
      <c r="E18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47" t="s">
        <v>6</v>
      </c>
      <c r="G1847" s="2">
        <v>21.06</v>
      </c>
    </row>
    <row r="1848" spans="1:7" x14ac:dyDescent="0.25">
      <c r="A18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241015-LUN001</v>
      </c>
      <c r="B1848" s="1" t="str">
        <f>TEXT(Coffee_sales_clean[[#This Row],[Transaction Date]],"dddd")</f>
        <v>Tuesday</v>
      </c>
      <c r="C1848" s="12">
        <v>45580</v>
      </c>
      <c r="D1848" s="4">
        <v>0.46761531249999999</v>
      </c>
      <c r="E18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48" t="s">
        <v>1</v>
      </c>
      <c r="G1848" s="2">
        <v>35.76</v>
      </c>
    </row>
    <row r="1849" spans="1:7" x14ac:dyDescent="0.25">
      <c r="A18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241015-LUN002</v>
      </c>
      <c r="B1849" s="1" t="str">
        <f>TEXT(Coffee_sales_clean[[#This Row],[Transaction Date]],"dddd")</f>
        <v>Tuesday</v>
      </c>
      <c r="C1849" s="12">
        <v>45580</v>
      </c>
      <c r="D1849" s="4">
        <v>0.46898868055555554</v>
      </c>
      <c r="E18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49" t="s">
        <v>0</v>
      </c>
      <c r="G1849" s="2">
        <v>35.76</v>
      </c>
    </row>
    <row r="1850" spans="1:7" x14ac:dyDescent="0.25">
      <c r="A18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241015-LUN003</v>
      </c>
      <c r="B1850" s="1" t="str">
        <f>TEXT(Coffee_sales_clean[[#This Row],[Transaction Date]],"dddd")</f>
        <v>Tuesday</v>
      </c>
      <c r="C1850" s="12">
        <v>45580</v>
      </c>
      <c r="D1850" s="4">
        <v>0.46976237268518517</v>
      </c>
      <c r="E18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50" t="s">
        <v>1</v>
      </c>
      <c r="G1850" s="2">
        <v>35.76</v>
      </c>
    </row>
    <row r="1851" spans="1:7" x14ac:dyDescent="0.25">
      <c r="A18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241015-LUN004</v>
      </c>
      <c r="B1851" s="1" t="str">
        <f>TEXT(Coffee_sales_clean[[#This Row],[Transaction Date]],"dddd")</f>
        <v>Tuesday</v>
      </c>
      <c r="C1851" s="12">
        <v>45580</v>
      </c>
      <c r="D1851" s="4">
        <v>0.54216704861111109</v>
      </c>
      <c r="E18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51" t="s">
        <v>0</v>
      </c>
      <c r="G1851" s="2">
        <v>35.76</v>
      </c>
    </row>
    <row r="1852" spans="1:7" x14ac:dyDescent="0.25">
      <c r="A18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241015-LUN005</v>
      </c>
      <c r="B1852" s="1" t="str">
        <f>TEXT(Coffee_sales_clean[[#This Row],[Transaction Date]],"dddd")</f>
        <v>Tuesday</v>
      </c>
      <c r="C1852" s="12">
        <v>45580</v>
      </c>
      <c r="D1852" s="4">
        <v>0.55260226851851857</v>
      </c>
      <c r="E18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52" t="s">
        <v>3</v>
      </c>
      <c r="G1852" s="2">
        <v>30.86</v>
      </c>
    </row>
    <row r="1853" spans="1:7" x14ac:dyDescent="0.25">
      <c r="A18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241015-AFT001</v>
      </c>
      <c r="B1853" s="1" t="str">
        <f>TEXT(Coffee_sales_clean[[#This Row],[Transaction Date]],"dddd")</f>
        <v>Tuesday</v>
      </c>
      <c r="C1853" s="12">
        <v>45580</v>
      </c>
      <c r="D1853" s="4">
        <v>0.6473527546296296</v>
      </c>
      <c r="E18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53" t="s">
        <v>0</v>
      </c>
      <c r="G1853" s="2">
        <v>35.76</v>
      </c>
    </row>
    <row r="1854" spans="1:7" x14ac:dyDescent="0.25">
      <c r="A18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241015-AFT002</v>
      </c>
      <c r="B1854" s="1" t="str">
        <f>TEXT(Coffee_sales_clean[[#This Row],[Transaction Date]],"dddd")</f>
        <v>Tuesday</v>
      </c>
      <c r="C1854" s="12">
        <v>45580</v>
      </c>
      <c r="D1854" s="4">
        <v>0.66269112268518515</v>
      </c>
      <c r="E18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54" t="s">
        <v>2</v>
      </c>
      <c r="G1854" s="2">
        <v>25.96</v>
      </c>
    </row>
    <row r="1855" spans="1:7" x14ac:dyDescent="0.25">
      <c r="A18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241015-AFT003</v>
      </c>
      <c r="B1855" s="1" t="str">
        <f>TEXT(Coffee_sales_clean[[#This Row],[Transaction Date]],"dddd")</f>
        <v>Tuesday</v>
      </c>
      <c r="C1855" s="12">
        <v>45580</v>
      </c>
      <c r="D1855" s="4">
        <v>0.66341480324074076</v>
      </c>
      <c r="E18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55" t="s">
        <v>6</v>
      </c>
      <c r="G1855" s="2">
        <v>21.06</v>
      </c>
    </row>
    <row r="1856" spans="1:7" x14ac:dyDescent="0.25">
      <c r="A18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241015-EVE001</v>
      </c>
      <c r="B1856" s="1" t="str">
        <f>TEXT(Coffee_sales_clean[[#This Row],[Transaction Date]],"dddd")</f>
        <v>Tuesday</v>
      </c>
      <c r="C1856" s="12">
        <v>45580</v>
      </c>
      <c r="D1856" s="4">
        <v>0.71124230324074078</v>
      </c>
      <c r="E18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56" t="s">
        <v>1</v>
      </c>
      <c r="G1856" s="2">
        <v>35.76</v>
      </c>
    </row>
    <row r="1857" spans="1:7" x14ac:dyDescent="0.25">
      <c r="A18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241015-EVE002</v>
      </c>
      <c r="B1857" s="1" t="str">
        <f>TEXT(Coffee_sales_clean[[#This Row],[Transaction Date]],"dddd")</f>
        <v>Tuesday</v>
      </c>
      <c r="C1857" s="12">
        <v>45580</v>
      </c>
      <c r="D1857" s="4">
        <v>0.80719188657407404</v>
      </c>
      <c r="E18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57" t="s">
        <v>2</v>
      </c>
      <c r="G1857" s="2">
        <v>25.96</v>
      </c>
    </row>
    <row r="1858" spans="1:7" x14ac:dyDescent="0.25">
      <c r="A18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241015-EVE003</v>
      </c>
      <c r="B1858" s="1" t="str">
        <f>TEXT(Coffee_sales_clean[[#This Row],[Transaction Date]],"dddd")</f>
        <v>Tuesday</v>
      </c>
      <c r="C1858" s="12">
        <v>45580</v>
      </c>
      <c r="D1858" s="4">
        <v>0.80783973379629626</v>
      </c>
      <c r="E18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58" t="s">
        <v>4</v>
      </c>
      <c r="G1858" s="2">
        <v>35.76</v>
      </c>
    </row>
    <row r="1859" spans="1:7" x14ac:dyDescent="0.25">
      <c r="A18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241015-LAT001</v>
      </c>
      <c r="B1859" s="1" t="str">
        <f>TEXT(Coffee_sales_clean[[#This Row],[Transaction Date]],"dddd")</f>
        <v>Tuesday</v>
      </c>
      <c r="C1859" s="12">
        <v>45580</v>
      </c>
      <c r="D1859" s="4">
        <v>0.84114449074074071</v>
      </c>
      <c r="E18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59" t="s">
        <v>0</v>
      </c>
      <c r="G1859" s="2">
        <v>35.76</v>
      </c>
    </row>
    <row r="1860" spans="1:7" x14ac:dyDescent="0.25">
      <c r="A18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241015-LAT002</v>
      </c>
      <c r="B1860" s="1" t="str">
        <f>TEXT(Coffee_sales_clean[[#This Row],[Transaction Date]],"dddd")</f>
        <v>Tuesday</v>
      </c>
      <c r="C1860" s="12">
        <v>45580</v>
      </c>
      <c r="D1860" s="4">
        <v>0.84199804398148148</v>
      </c>
      <c r="E18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60" t="s">
        <v>0</v>
      </c>
      <c r="G1860" s="2">
        <v>35.76</v>
      </c>
    </row>
    <row r="1861" spans="1:7" x14ac:dyDescent="0.25">
      <c r="A18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241015-LAT003</v>
      </c>
      <c r="B1861" s="1" t="str">
        <f>TEXT(Coffee_sales_clean[[#This Row],[Transaction Date]],"dddd")</f>
        <v>Tuesday</v>
      </c>
      <c r="C1861" s="12">
        <v>45580</v>
      </c>
      <c r="D1861" s="4">
        <v>0.88759732638888889</v>
      </c>
      <c r="E18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61" t="s">
        <v>1</v>
      </c>
      <c r="G1861" s="2">
        <v>35.76</v>
      </c>
    </row>
    <row r="1862" spans="1:7" x14ac:dyDescent="0.25">
      <c r="A18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241015-LAT004</v>
      </c>
      <c r="B1862" s="1" t="str">
        <f>TEXT(Coffee_sales_clean[[#This Row],[Transaction Date]],"dddd")</f>
        <v>Tuesday</v>
      </c>
      <c r="C1862" s="12">
        <v>45580</v>
      </c>
      <c r="D1862" s="4">
        <v>0.89953637731481484</v>
      </c>
      <c r="E18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62" t="s">
        <v>1</v>
      </c>
      <c r="G1862" s="2">
        <v>35.76</v>
      </c>
    </row>
    <row r="1863" spans="1:7" x14ac:dyDescent="0.25">
      <c r="A18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241015-LAT005</v>
      </c>
      <c r="B1863" s="1" t="str">
        <f>TEXT(Coffee_sales_clean[[#This Row],[Transaction Date]],"dddd")</f>
        <v>Tuesday</v>
      </c>
      <c r="C1863" s="12">
        <v>45580</v>
      </c>
      <c r="D1863" s="4">
        <v>0.9273107986111111</v>
      </c>
      <c r="E18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63" t="s">
        <v>0</v>
      </c>
      <c r="G1863" s="2">
        <v>35.76</v>
      </c>
    </row>
    <row r="1864" spans="1:7" x14ac:dyDescent="0.25">
      <c r="A18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241016-MOR001</v>
      </c>
      <c r="B1864" s="1" t="str">
        <f>TEXT(Coffee_sales_clean[[#This Row],[Transaction Date]],"dddd")</f>
        <v>Wednesday</v>
      </c>
      <c r="C1864" s="12">
        <v>45581</v>
      </c>
      <c r="D1864" s="4">
        <v>0.34821774305555553</v>
      </c>
      <c r="E18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64" t="s">
        <v>3</v>
      </c>
      <c r="G1864" s="2">
        <v>30.86</v>
      </c>
    </row>
    <row r="1865" spans="1:7" x14ac:dyDescent="0.25">
      <c r="A18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241016-MOR002</v>
      </c>
      <c r="B1865" s="1" t="str">
        <f>TEXT(Coffee_sales_clean[[#This Row],[Transaction Date]],"dddd")</f>
        <v>Wednesday</v>
      </c>
      <c r="C1865" s="12">
        <v>45581</v>
      </c>
      <c r="D1865" s="4">
        <v>0.35860634259259261</v>
      </c>
      <c r="E18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65" t="s">
        <v>1</v>
      </c>
      <c r="G1865" s="2">
        <v>35.76</v>
      </c>
    </row>
    <row r="1866" spans="1:7" x14ac:dyDescent="0.25">
      <c r="A18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241016-MOR003</v>
      </c>
      <c r="B1866" s="1" t="str">
        <f>TEXT(Coffee_sales_clean[[#This Row],[Transaction Date]],"dddd")</f>
        <v>Wednesday</v>
      </c>
      <c r="C1866" s="12">
        <v>45581</v>
      </c>
      <c r="D1866" s="4">
        <v>0.39295341435185183</v>
      </c>
      <c r="E18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66" t="s">
        <v>0</v>
      </c>
      <c r="G1866" s="2">
        <v>35.76</v>
      </c>
    </row>
    <row r="1867" spans="1:7" x14ac:dyDescent="0.25">
      <c r="A18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241016-MOR004</v>
      </c>
      <c r="B1867" s="1" t="str">
        <f>TEXT(Coffee_sales_clean[[#This Row],[Transaction Date]],"dddd")</f>
        <v>Wednesday</v>
      </c>
      <c r="C1867" s="12">
        <v>45581</v>
      </c>
      <c r="D1867" s="4">
        <v>0.42763824074074075</v>
      </c>
      <c r="E18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67" t="s">
        <v>3</v>
      </c>
      <c r="G1867" s="2">
        <v>30.86</v>
      </c>
    </row>
    <row r="1868" spans="1:7" x14ac:dyDescent="0.25">
      <c r="A18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241016-MOR005</v>
      </c>
      <c r="B1868" s="1" t="str">
        <f>TEXT(Coffee_sales_clean[[#This Row],[Transaction Date]],"dddd")</f>
        <v>Wednesday</v>
      </c>
      <c r="C1868" s="12">
        <v>45581</v>
      </c>
      <c r="D1868" s="4">
        <v>0.42839975694444443</v>
      </c>
      <c r="E18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68" t="s">
        <v>3</v>
      </c>
      <c r="G1868" s="2">
        <v>30.86</v>
      </c>
    </row>
    <row r="1869" spans="1:7" x14ac:dyDescent="0.25">
      <c r="A18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241016-MOR006</v>
      </c>
      <c r="B1869" s="1" t="str">
        <f>TEXT(Coffee_sales_clean[[#This Row],[Transaction Date]],"dddd")</f>
        <v>Wednesday</v>
      </c>
      <c r="C1869" s="12">
        <v>45581</v>
      </c>
      <c r="D1869" s="4">
        <v>0.44820559027777779</v>
      </c>
      <c r="E18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69" t="s">
        <v>3</v>
      </c>
      <c r="G1869" s="2">
        <v>30.86</v>
      </c>
    </row>
    <row r="1870" spans="1:7" x14ac:dyDescent="0.25">
      <c r="A18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241016-LUN001</v>
      </c>
      <c r="B1870" s="1" t="str">
        <f>TEXT(Coffee_sales_clean[[#This Row],[Transaction Date]],"dddd")</f>
        <v>Wednesday</v>
      </c>
      <c r="C1870" s="12">
        <v>45581</v>
      </c>
      <c r="D1870" s="4">
        <v>0.49287769675925924</v>
      </c>
      <c r="E18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70" t="s">
        <v>2</v>
      </c>
      <c r="G1870" s="2">
        <v>25.96</v>
      </c>
    </row>
    <row r="1871" spans="1:7" x14ac:dyDescent="0.25">
      <c r="A18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241016-LUN002</v>
      </c>
      <c r="B1871" s="1" t="str">
        <f>TEXT(Coffee_sales_clean[[#This Row],[Transaction Date]],"dddd")</f>
        <v>Wednesday</v>
      </c>
      <c r="C1871" s="12">
        <v>45581</v>
      </c>
      <c r="D1871" s="4">
        <v>0.520651087962963</v>
      </c>
      <c r="E18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71" t="s">
        <v>3</v>
      </c>
      <c r="G1871" s="2">
        <v>30.86</v>
      </c>
    </row>
    <row r="1872" spans="1:7" x14ac:dyDescent="0.25">
      <c r="A18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241016-LUN003</v>
      </c>
      <c r="B1872" s="1" t="str">
        <f>TEXT(Coffee_sales_clean[[#This Row],[Transaction Date]],"dddd")</f>
        <v>Wednesday</v>
      </c>
      <c r="C1872" s="12">
        <v>45581</v>
      </c>
      <c r="D1872" s="4">
        <v>0.55567673611111112</v>
      </c>
      <c r="E18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72" t="s">
        <v>2</v>
      </c>
      <c r="G1872" s="2">
        <v>25.96</v>
      </c>
    </row>
    <row r="1873" spans="1:7" x14ac:dyDescent="0.25">
      <c r="A18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241016-AFT001</v>
      </c>
      <c r="B1873" s="1" t="str">
        <f>TEXT(Coffee_sales_clean[[#This Row],[Transaction Date]],"dddd")</f>
        <v>Wednesday</v>
      </c>
      <c r="C1873" s="12">
        <v>45581</v>
      </c>
      <c r="D1873" s="4">
        <v>0.69825853009259264</v>
      </c>
      <c r="E18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73" t="s">
        <v>0</v>
      </c>
      <c r="G1873" s="2">
        <v>35.76</v>
      </c>
    </row>
    <row r="1874" spans="1:7" x14ac:dyDescent="0.25">
      <c r="A18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241016-EVE001</v>
      </c>
      <c r="B1874" s="1" t="str">
        <f>TEXT(Coffee_sales_clean[[#This Row],[Transaction Date]],"dddd")</f>
        <v>Wednesday</v>
      </c>
      <c r="C1874" s="12">
        <v>45581</v>
      </c>
      <c r="D1874" s="4">
        <v>0.7384335300925926</v>
      </c>
      <c r="E18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74" t="s">
        <v>3</v>
      </c>
      <c r="G1874" s="2">
        <v>30.86</v>
      </c>
    </row>
    <row r="1875" spans="1:7" x14ac:dyDescent="0.25">
      <c r="A18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241016-EVE002</v>
      </c>
      <c r="B1875" s="1" t="str">
        <f>TEXT(Coffee_sales_clean[[#This Row],[Transaction Date]],"dddd")</f>
        <v>Wednesday</v>
      </c>
      <c r="C1875" s="12">
        <v>45581</v>
      </c>
      <c r="D1875" s="4">
        <v>0.81785197916666663</v>
      </c>
      <c r="E18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75" t="s">
        <v>3</v>
      </c>
      <c r="G1875" s="2">
        <v>30.86</v>
      </c>
    </row>
    <row r="1876" spans="1:7" x14ac:dyDescent="0.25">
      <c r="A18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241016-EVE003</v>
      </c>
      <c r="B1876" s="1" t="str">
        <f>TEXT(Coffee_sales_clean[[#This Row],[Transaction Date]],"dddd")</f>
        <v>Wednesday</v>
      </c>
      <c r="C1876" s="12">
        <v>45581</v>
      </c>
      <c r="D1876" s="4">
        <v>0.81847972222222221</v>
      </c>
      <c r="E18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76" t="s">
        <v>3</v>
      </c>
      <c r="G1876" s="2">
        <v>30.86</v>
      </c>
    </row>
    <row r="1877" spans="1:7" x14ac:dyDescent="0.25">
      <c r="A18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241016-LAT001</v>
      </c>
      <c r="B1877" s="1" t="str">
        <f>TEXT(Coffee_sales_clean[[#This Row],[Transaction Date]],"dddd")</f>
        <v>Wednesday</v>
      </c>
      <c r="C1877" s="12">
        <v>45581</v>
      </c>
      <c r="D1877" s="4">
        <v>0.88921913194444446</v>
      </c>
      <c r="E18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77" t="s">
        <v>1</v>
      </c>
      <c r="G1877" s="2">
        <v>35.76</v>
      </c>
    </row>
    <row r="1878" spans="1:7" x14ac:dyDescent="0.25">
      <c r="A18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241017-MOR001</v>
      </c>
      <c r="B1878" s="1" t="str">
        <f>TEXT(Coffee_sales_clean[[#This Row],[Transaction Date]],"dddd")</f>
        <v>Thursday</v>
      </c>
      <c r="C1878" s="12">
        <v>45582</v>
      </c>
      <c r="D1878" s="4">
        <v>0.32431621527777776</v>
      </c>
      <c r="E18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78" t="s">
        <v>0</v>
      </c>
      <c r="G1878" s="2">
        <v>35.76</v>
      </c>
    </row>
    <row r="1879" spans="1:7" x14ac:dyDescent="0.25">
      <c r="A18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241017-MOR002</v>
      </c>
      <c r="B1879" s="1" t="str">
        <f>TEXT(Coffee_sales_clean[[#This Row],[Transaction Date]],"dddd")</f>
        <v>Thursday</v>
      </c>
      <c r="C1879" s="12">
        <v>45582</v>
      </c>
      <c r="D1879" s="4">
        <v>0.33202271990740739</v>
      </c>
      <c r="E18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79" t="s">
        <v>0</v>
      </c>
      <c r="G1879" s="2">
        <v>35.76</v>
      </c>
    </row>
    <row r="1880" spans="1:7" x14ac:dyDescent="0.25">
      <c r="A18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241017-MOR003</v>
      </c>
      <c r="B1880" s="1" t="str">
        <f>TEXT(Coffee_sales_clean[[#This Row],[Transaction Date]],"dddd")</f>
        <v>Thursday</v>
      </c>
      <c r="C1880" s="12">
        <v>45582</v>
      </c>
      <c r="D1880" s="4">
        <v>0.39198104166666664</v>
      </c>
      <c r="E18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80" t="s">
        <v>3</v>
      </c>
      <c r="G1880" s="2">
        <v>30.86</v>
      </c>
    </row>
    <row r="1881" spans="1:7" x14ac:dyDescent="0.25">
      <c r="A18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241017-MOR004</v>
      </c>
      <c r="B1881" s="1" t="str">
        <f>TEXT(Coffee_sales_clean[[#This Row],[Transaction Date]],"dddd")</f>
        <v>Thursday</v>
      </c>
      <c r="C1881" s="12">
        <v>45582</v>
      </c>
      <c r="D1881" s="4">
        <v>0.4351596064814815</v>
      </c>
      <c r="E18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81" t="s">
        <v>0</v>
      </c>
      <c r="G1881" s="2">
        <v>35.76</v>
      </c>
    </row>
    <row r="1882" spans="1:7" x14ac:dyDescent="0.25">
      <c r="A18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241017-MOR005</v>
      </c>
      <c r="B1882" s="1" t="str">
        <f>TEXT(Coffee_sales_clean[[#This Row],[Transaction Date]],"dddd")</f>
        <v>Thursday</v>
      </c>
      <c r="C1882" s="12">
        <v>45582</v>
      </c>
      <c r="D1882" s="4">
        <v>0.44784990740740743</v>
      </c>
      <c r="E18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82" t="s">
        <v>1</v>
      </c>
      <c r="G1882" s="2">
        <v>35.76</v>
      </c>
    </row>
    <row r="1883" spans="1:7" x14ac:dyDescent="0.25">
      <c r="A18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241017-LUN001</v>
      </c>
      <c r="B1883" s="1" t="str">
        <f>TEXT(Coffee_sales_clean[[#This Row],[Transaction Date]],"dddd")</f>
        <v>Thursday</v>
      </c>
      <c r="C1883" s="12">
        <v>45582</v>
      </c>
      <c r="D1883" s="4">
        <v>0.49961635416666667</v>
      </c>
      <c r="E18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83" t="s">
        <v>3</v>
      </c>
      <c r="G1883" s="2">
        <v>30.86</v>
      </c>
    </row>
    <row r="1884" spans="1:7" x14ac:dyDescent="0.25">
      <c r="A18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241017-LUN002</v>
      </c>
      <c r="B1884" s="1" t="str">
        <f>TEXT(Coffee_sales_clean[[#This Row],[Transaction Date]],"dddd")</f>
        <v>Thursday</v>
      </c>
      <c r="C1884" s="12">
        <v>45582</v>
      </c>
      <c r="D1884" s="4">
        <v>0.58153813657407405</v>
      </c>
      <c r="E18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884" t="s">
        <v>0</v>
      </c>
      <c r="G1884" s="2">
        <v>35.76</v>
      </c>
    </row>
    <row r="1885" spans="1:7" x14ac:dyDescent="0.25">
      <c r="A18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241017-AFT001</v>
      </c>
      <c r="B1885" s="1" t="str">
        <f>TEXT(Coffee_sales_clean[[#This Row],[Transaction Date]],"dddd")</f>
        <v>Thursday</v>
      </c>
      <c r="C1885" s="12">
        <v>45582</v>
      </c>
      <c r="D1885" s="4">
        <v>0.6074374768518519</v>
      </c>
      <c r="E18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85" t="s">
        <v>2</v>
      </c>
      <c r="G1885" s="2">
        <v>25.96</v>
      </c>
    </row>
    <row r="1886" spans="1:7" x14ac:dyDescent="0.25">
      <c r="A18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241017-AFT002</v>
      </c>
      <c r="B1886" s="1" t="str">
        <f>TEXT(Coffee_sales_clean[[#This Row],[Transaction Date]],"dddd")</f>
        <v>Thursday</v>
      </c>
      <c r="C1886" s="12">
        <v>45582</v>
      </c>
      <c r="D1886" s="4">
        <v>0.69250678240740737</v>
      </c>
      <c r="E18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86" t="s">
        <v>1</v>
      </c>
      <c r="G1886" s="2">
        <v>35.76</v>
      </c>
    </row>
    <row r="1887" spans="1:7" x14ac:dyDescent="0.25">
      <c r="A18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241017-AFT003</v>
      </c>
      <c r="B1887" s="1" t="str">
        <f>TEXT(Coffee_sales_clean[[#This Row],[Transaction Date]],"dddd")</f>
        <v>Thursday</v>
      </c>
      <c r="C1887" s="12">
        <v>45582</v>
      </c>
      <c r="D1887" s="4">
        <v>0.69326353009259256</v>
      </c>
      <c r="E18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87" t="s">
        <v>1</v>
      </c>
      <c r="G1887" s="2">
        <v>35.76</v>
      </c>
    </row>
    <row r="1888" spans="1:7" x14ac:dyDescent="0.25">
      <c r="A18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241017-AFT004</v>
      </c>
      <c r="B1888" s="1" t="str">
        <f>TEXT(Coffee_sales_clean[[#This Row],[Transaction Date]],"dddd")</f>
        <v>Thursday</v>
      </c>
      <c r="C1888" s="12">
        <v>45582</v>
      </c>
      <c r="D1888" s="4">
        <v>0.69386118055555557</v>
      </c>
      <c r="E18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88" t="s">
        <v>0</v>
      </c>
      <c r="G1888" s="2">
        <v>35.76</v>
      </c>
    </row>
    <row r="1889" spans="1:7" x14ac:dyDescent="0.25">
      <c r="A18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241017-AFT005</v>
      </c>
      <c r="B1889" s="1" t="str">
        <f>TEXT(Coffee_sales_clean[[#This Row],[Transaction Date]],"dddd")</f>
        <v>Thursday</v>
      </c>
      <c r="C1889" s="12">
        <v>45582</v>
      </c>
      <c r="D1889" s="4">
        <v>0.70041501157407404</v>
      </c>
      <c r="E18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89" t="s">
        <v>1</v>
      </c>
      <c r="G1889" s="2">
        <v>35.76</v>
      </c>
    </row>
    <row r="1890" spans="1:7" x14ac:dyDescent="0.25">
      <c r="A18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241017-AFT006</v>
      </c>
      <c r="B1890" s="1" t="str">
        <f>TEXT(Coffee_sales_clean[[#This Row],[Transaction Date]],"dddd")</f>
        <v>Thursday</v>
      </c>
      <c r="C1890" s="12">
        <v>45582</v>
      </c>
      <c r="D1890" s="4">
        <v>0.70107819444444441</v>
      </c>
      <c r="E18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890" t="s">
        <v>1</v>
      </c>
      <c r="G1890" s="2">
        <v>35.76</v>
      </c>
    </row>
    <row r="1891" spans="1:7" x14ac:dyDescent="0.25">
      <c r="A18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241017-EVE001</v>
      </c>
      <c r="B1891" s="1" t="str">
        <f>TEXT(Coffee_sales_clean[[#This Row],[Transaction Date]],"dddd")</f>
        <v>Thursday</v>
      </c>
      <c r="C1891" s="12">
        <v>45582</v>
      </c>
      <c r="D1891" s="4">
        <v>0.71421008101851857</v>
      </c>
      <c r="E18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91" t="s">
        <v>7</v>
      </c>
      <c r="G1891" s="2">
        <v>35.76</v>
      </c>
    </row>
    <row r="1892" spans="1:7" x14ac:dyDescent="0.25">
      <c r="A18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241017-EVE002</v>
      </c>
      <c r="B1892" s="1" t="str">
        <f>TEXT(Coffee_sales_clean[[#This Row],[Transaction Date]],"dddd")</f>
        <v>Thursday</v>
      </c>
      <c r="C1892" s="12">
        <v>45582</v>
      </c>
      <c r="D1892" s="4">
        <v>0.71493406250000002</v>
      </c>
      <c r="E18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92" t="s">
        <v>1</v>
      </c>
      <c r="G1892" s="2">
        <v>35.76</v>
      </c>
    </row>
    <row r="1893" spans="1:7" x14ac:dyDescent="0.25">
      <c r="A18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241017-EVE003</v>
      </c>
      <c r="B1893" s="1" t="str">
        <f>TEXT(Coffee_sales_clean[[#This Row],[Transaction Date]],"dddd")</f>
        <v>Thursday</v>
      </c>
      <c r="C1893" s="12">
        <v>45582</v>
      </c>
      <c r="D1893" s="4">
        <v>0.82166859953703708</v>
      </c>
      <c r="E18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893" t="s">
        <v>0</v>
      </c>
      <c r="G1893" s="2">
        <v>35.76</v>
      </c>
    </row>
    <row r="1894" spans="1:7" x14ac:dyDescent="0.25">
      <c r="A18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241017-LAT001</v>
      </c>
      <c r="B1894" s="1" t="str">
        <f>TEXT(Coffee_sales_clean[[#This Row],[Transaction Date]],"dddd")</f>
        <v>Thursday</v>
      </c>
      <c r="C1894" s="12">
        <v>45582</v>
      </c>
      <c r="D1894" s="4">
        <v>0.84139356481481486</v>
      </c>
      <c r="E18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94" t="s">
        <v>3</v>
      </c>
      <c r="G1894" s="2">
        <v>30.86</v>
      </c>
    </row>
    <row r="1895" spans="1:7" x14ac:dyDescent="0.25">
      <c r="A18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241017-LAT002</v>
      </c>
      <c r="B1895" s="1" t="str">
        <f>TEXT(Coffee_sales_clean[[#This Row],[Transaction Date]],"dddd")</f>
        <v>Thursday</v>
      </c>
      <c r="C1895" s="12">
        <v>45582</v>
      </c>
      <c r="D1895" s="4">
        <v>0.90709427083333338</v>
      </c>
      <c r="E18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95" t="s">
        <v>0</v>
      </c>
      <c r="G1895" s="2">
        <v>35.76</v>
      </c>
    </row>
    <row r="1896" spans="1:7" x14ac:dyDescent="0.25">
      <c r="A18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241017-LAT003</v>
      </c>
      <c r="B1896" s="1" t="str">
        <f>TEXT(Coffee_sales_clean[[#This Row],[Transaction Date]],"dddd")</f>
        <v>Thursday</v>
      </c>
      <c r="C1896" s="12">
        <v>45582</v>
      </c>
      <c r="D1896" s="4">
        <v>0.90787570601851852</v>
      </c>
      <c r="E18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96" t="s">
        <v>0</v>
      </c>
      <c r="G1896" s="2">
        <v>35.76</v>
      </c>
    </row>
    <row r="1897" spans="1:7" x14ac:dyDescent="0.25">
      <c r="A18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241017-LAT004</v>
      </c>
      <c r="B1897" s="1" t="str">
        <f>TEXT(Coffee_sales_clean[[#This Row],[Transaction Date]],"dddd")</f>
        <v>Thursday</v>
      </c>
      <c r="C1897" s="12">
        <v>45582</v>
      </c>
      <c r="D1897" s="4">
        <v>0.90870021990740746</v>
      </c>
      <c r="E18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97" t="s">
        <v>0</v>
      </c>
      <c r="G1897" s="2">
        <v>35.76</v>
      </c>
    </row>
    <row r="1898" spans="1:7" x14ac:dyDescent="0.25">
      <c r="A18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241017-LAT005</v>
      </c>
      <c r="B1898" s="1" t="str">
        <f>TEXT(Coffee_sales_clean[[#This Row],[Transaction Date]],"dddd")</f>
        <v>Thursday</v>
      </c>
      <c r="C1898" s="12">
        <v>45582</v>
      </c>
      <c r="D1898" s="4">
        <v>0.90965994212962964</v>
      </c>
      <c r="E18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898" t="s">
        <v>1</v>
      </c>
      <c r="G1898" s="2">
        <v>35.76</v>
      </c>
    </row>
    <row r="1899" spans="1:7" x14ac:dyDescent="0.25">
      <c r="A18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241018-MOR001</v>
      </c>
      <c r="B1899" s="1" t="str">
        <f>TEXT(Coffee_sales_clean[[#This Row],[Transaction Date]],"dddd")</f>
        <v>Friday</v>
      </c>
      <c r="C1899" s="12">
        <v>45583</v>
      </c>
      <c r="D1899" s="4">
        <v>0.36249408564814817</v>
      </c>
      <c r="E18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899" t="s">
        <v>4</v>
      </c>
      <c r="G1899" s="2">
        <v>35.76</v>
      </c>
    </row>
    <row r="1900" spans="1:7" x14ac:dyDescent="0.25">
      <c r="A19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241018-MOR002</v>
      </c>
      <c r="B1900" s="1" t="str">
        <f>TEXT(Coffee_sales_clean[[#This Row],[Transaction Date]],"dddd")</f>
        <v>Friday</v>
      </c>
      <c r="C1900" s="12">
        <v>45583</v>
      </c>
      <c r="D1900" s="4">
        <v>0.36318490740740739</v>
      </c>
      <c r="E19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00" t="s">
        <v>4</v>
      </c>
      <c r="G1900" s="2">
        <v>35.76</v>
      </c>
    </row>
    <row r="1901" spans="1:7" x14ac:dyDescent="0.25">
      <c r="A19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241018-MOR003</v>
      </c>
      <c r="B1901" s="1" t="str">
        <f>TEXT(Coffee_sales_clean[[#This Row],[Transaction Date]],"dddd")</f>
        <v>Friday</v>
      </c>
      <c r="C1901" s="12">
        <v>45583</v>
      </c>
      <c r="D1901" s="4">
        <v>0.39770255787037034</v>
      </c>
      <c r="E19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01" t="s">
        <v>4</v>
      </c>
      <c r="G1901" s="2">
        <v>35.76</v>
      </c>
    </row>
    <row r="1902" spans="1:7" x14ac:dyDescent="0.25">
      <c r="A19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241018-MOR004</v>
      </c>
      <c r="B1902" s="1" t="str">
        <f>TEXT(Coffee_sales_clean[[#This Row],[Transaction Date]],"dddd")</f>
        <v>Friday</v>
      </c>
      <c r="C1902" s="12">
        <v>45583</v>
      </c>
      <c r="D1902" s="4">
        <v>0.39870394675925924</v>
      </c>
      <c r="E19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02" t="s">
        <v>4</v>
      </c>
      <c r="G1902" s="2">
        <v>35.76</v>
      </c>
    </row>
    <row r="1903" spans="1:7" x14ac:dyDescent="0.25">
      <c r="A19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241018-MOR005</v>
      </c>
      <c r="B1903" s="1" t="str">
        <f>TEXT(Coffee_sales_clean[[#This Row],[Transaction Date]],"dddd")</f>
        <v>Friday</v>
      </c>
      <c r="C1903" s="12">
        <v>45583</v>
      </c>
      <c r="D1903" s="4">
        <v>0.41342857638888891</v>
      </c>
      <c r="E19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03" t="s">
        <v>7</v>
      </c>
      <c r="G1903" s="2">
        <v>35.76</v>
      </c>
    </row>
    <row r="1904" spans="1:7" x14ac:dyDescent="0.25">
      <c r="A19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241018-LUN001</v>
      </c>
      <c r="B1904" s="1" t="str">
        <f>TEXT(Coffee_sales_clean[[#This Row],[Transaction Date]],"dddd")</f>
        <v>Friday</v>
      </c>
      <c r="C1904" s="12">
        <v>45583</v>
      </c>
      <c r="D1904" s="4">
        <v>0.49651407407407405</v>
      </c>
      <c r="E19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04" t="s">
        <v>7</v>
      </c>
      <c r="G1904" s="2">
        <v>35.76</v>
      </c>
    </row>
    <row r="1905" spans="1:7" x14ac:dyDescent="0.25">
      <c r="A19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241018-AFT001</v>
      </c>
      <c r="B1905" s="1" t="str">
        <f>TEXT(Coffee_sales_clean[[#This Row],[Transaction Date]],"dddd")</f>
        <v>Friday</v>
      </c>
      <c r="C1905" s="12">
        <v>45583</v>
      </c>
      <c r="D1905" s="4">
        <v>0.61879765046296298</v>
      </c>
      <c r="E19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05" t="s">
        <v>0</v>
      </c>
      <c r="G1905" s="2">
        <v>35.76</v>
      </c>
    </row>
    <row r="1906" spans="1:7" x14ac:dyDescent="0.25">
      <c r="A19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241018-AFT002</v>
      </c>
      <c r="B1906" s="1" t="str">
        <f>TEXT(Coffee_sales_clean[[#This Row],[Transaction Date]],"dddd")</f>
        <v>Friday</v>
      </c>
      <c r="C1906" s="12">
        <v>45583</v>
      </c>
      <c r="D1906" s="4">
        <v>0.6196218171296296</v>
      </c>
      <c r="E19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06" t="s">
        <v>7</v>
      </c>
      <c r="G1906" s="2">
        <v>35.76</v>
      </c>
    </row>
    <row r="1907" spans="1:7" x14ac:dyDescent="0.25">
      <c r="A19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241018-AFT003</v>
      </c>
      <c r="B1907" s="1" t="str">
        <f>TEXT(Coffee_sales_clean[[#This Row],[Transaction Date]],"dddd")</f>
        <v>Friday</v>
      </c>
      <c r="C1907" s="12">
        <v>45583</v>
      </c>
      <c r="D1907" s="4">
        <v>0.6523144675925926</v>
      </c>
      <c r="E19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07" t="s">
        <v>2</v>
      </c>
      <c r="G1907" s="2">
        <v>25.96</v>
      </c>
    </row>
    <row r="1908" spans="1:7" x14ac:dyDescent="0.25">
      <c r="A19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241018-AFT004</v>
      </c>
      <c r="B1908" s="1" t="str">
        <f>TEXT(Coffee_sales_clean[[#This Row],[Transaction Date]],"dddd")</f>
        <v>Friday</v>
      </c>
      <c r="C1908" s="12">
        <v>45583</v>
      </c>
      <c r="D1908" s="4">
        <v>0.67358652777777783</v>
      </c>
      <c r="E19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08" t="s">
        <v>0</v>
      </c>
      <c r="G1908" s="2">
        <v>35.76</v>
      </c>
    </row>
    <row r="1909" spans="1:7" x14ac:dyDescent="0.25">
      <c r="A19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241018-EVE001</v>
      </c>
      <c r="B1909" s="1" t="str">
        <f>TEXT(Coffee_sales_clean[[#This Row],[Transaction Date]],"dddd")</f>
        <v>Friday</v>
      </c>
      <c r="C1909" s="12">
        <v>45583</v>
      </c>
      <c r="D1909" s="4">
        <v>0.74003446759259262</v>
      </c>
      <c r="E19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09" t="s">
        <v>1</v>
      </c>
      <c r="G1909" s="2">
        <v>35.76</v>
      </c>
    </row>
    <row r="1910" spans="1:7" x14ac:dyDescent="0.25">
      <c r="A19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241018-LAT001</v>
      </c>
      <c r="B1910" s="1" t="str">
        <f>TEXT(Coffee_sales_clean[[#This Row],[Transaction Date]],"dddd")</f>
        <v>Friday</v>
      </c>
      <c r="C1910" s="12">
        <v>45583</v>
      </c>
      <c r="D1910" s="4">
        <v>0.88518799768518519</v>
      </c>
      <c r="E19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10" t="s">
        <v>4</v>
      </c>
      <c r="G1910" s="2">
        <v>35.76</v>
      </c>
    </row>
    <row r="1911" spans="1:7" x14ac:dyDescent="0.25">
      <c r="A19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241018-LAT002</v>
      </c>
      <c r="B1911" s="1" t="str">
        <f>TEXT(Coffee_sales_clean[[#This Row],[Transaction Date]],"dddd")</f>
        <v>Friday</v>
      </c>
      <c r="C1911" s="12">
        <v>45583</v>
      </c>
      <c r="D1911" s="4">
        <v>0.88567723379629626</v>
      </c>
      <c r="E19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11" t="s">
        <v>4</v>
      </c>
      <c r="G1911" s="2">
        <v>35.76</v>
      </c>
    </row>
    <row r="1912" spans="1:7" x14ac:dyDescent="0.25">
      <c r="A19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241018-LAT003</v>
      </c>
      <c r="B1912" s="1" t="str">
        <f>TEXT(Coffee_sales_clean[[#This Row],[Transaction Date]],"dddd")</f>
        <v>Friday</v>
      </c>
      <c r="C1912" s="12">
        <v>45583</v>
      </c>
      <c r="D1912" s="4">
        <v>0.91138203703703702</v>
      </c>
      <c r="E19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12" t="s">
        <v>3</v>
      </c>
      <c r="G1912" s="2">
        <v>30.86</v>
      </c>
    </row>
    <row r="1913" spans="1:7" x14ac:dyDescent="0.25">
      <c r="A19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241018-LAT004</v>
      </c>
      <c r="B1913" s="1" t="str">
        <f>TEXT(Coffee_sales_clean[[#This Row],[Transaction Date]],"dddd")</f>
        <v>Friday</v>
      </c>
      <c r="C1913" s="12">
        <v>45583</v>
      </c>
      <c r="D1913" s="4">
        <v>0.91906208333333328</v>
      </c>
      <c r="E19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13" t="s">
        <v>0</v>
      </c>
      <c r="G1913" s="2">
        <v>35.76</v>
      </c>
    </row>
    <row r="1914" spans="1:7" x14ac:dyDescent="0.25">
      <c r="A19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241019-MOR001</v>
      </c>
      <c r="B1914" s="1" t="str">
        <f>TEXT(Coffee_sales_clean[[#This Row],[Transaction Date]],"dddd")</f>
        <v>Saturday</v>
      </c>
      <c r="C1914" s="12">
        <v>45584</v>
      </c>
      <c r="D1914" s="4">
        <v>0.35710247685185187</v>
      </c>
      <c r="E19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14" t="s">
        <v>3</v>
      </c>
      <c r="G1914" s="2">
        <v>30.86</v>
      </c>
    </row>
    <row r="1915" spans="1:7" x14ac:dyDescent="0.25">
      <c r="A19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241019-LUN001</v>
      </c>
      <c r="B1915" s="1" t="str">
        <f>TEXT(Coffee_sales_clean[[#This Row],[Transaction Date]],"dddd")</f>
        <v>Saturday</v>
      </c>
      <c r="C1915" s="12">
        <v>45584</v>
      </c>
      <c r="D1915" s="4">
        <v>0.55701490740740744</v>
      </c>
      <c r="E19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15" t="s">
        <v>0</v>
      </c>
      <c r="G1915" s="2">
        <v>35.76</v>
      </c>
    </row>
    <row r="1916" spans="1:7" x14ac:dyDescent="0.25">
      <c r="A19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241019-AFT001</v>
      </c>
      <c r="B1916" s="1" t="str">
        <f>TEXT(Coffee_sales_clean[[#This Row],[Transaction Date]],"dddd")</f>
        <v>Saturday</v>
      </c>
      <c r="C1916" s="12">
        <v>45584</v>
      </c>
      <c r="D1916" s="4">
        <v>0.59065519675925926</v>
      </c>
      <c r="E19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16" t="s">
        <v>7</v>
      </c>
      <c r="G1916" s="2">
        <v>35.76</v>
      </c>
    </row>
    <row r="1917" spans="1:7" x14ac:dyDescent="0.25">
      <c r="A19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241019-AFT002</v>
      </c>
      <c r="B1917" s="1" t="str">
        <f>TEXT(Coffee_sales_clean[[#This Row],[Transaction Date]],"dddd")</f>
        <v>Saturday</v>
      </c>
      <c r="C1917" s="12">
        <v>45584</v>
      </c>
      <c r="D1917" s="4">
        <v>0.66452798611111108</v>
      </c>
      <c r="E19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17" t="s">
        <v>1</v>
      </c>
      <c r="G1917" s="2">
        <v>35.76</v>
      </c>
    </row>
    <row r="1918" spans="1:7" x14ac:dyDescent="0.25">
      <c r="A19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241019-AFT003</v>
      </c>
      <c r="B1918" s="1" t="str">
        <f>TEXT(Coffee_sales_clean[[#This Row],[Transaction Date]],"dddd")</f>
        <v>Saturday</v>
      </c>
      <c r="C1918" s="12">
        <v>45584</v>
      </c>
      <c r="D1918" s="4">
        <v>0.66625087962962959</v>
      </c>
      <c r="E19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18" t="s">
        <v>0</v>
      </c>
      <c r="G1918" s="2">
        <v>35.76</v>
      </c>
    </row>
    <row r="1919" spans="1:7" x14ac:dyDescent="0.25">
      <c r="A19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241019-AFT004</v>
      </c>
      <c r="B1919" s="1" t="str">
        <f>TEXT(Coffee_sales_clean[[#This Row],[Transaction Date]],"dddd")</f>
        <v>Saturday</v>
      </c>
      <c r="C1919" s="12">
        <v>45584</v>
      </c>
      <c r="D1919" s="4">
        <v>0.66858600694444448</v>
      </c>
      <c r="E19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19" t="s">
        <v>0</v>
      </c>
      <c r="G1919" s="2">
        <v>35.76</v>
      </c>
    </row>
    <row r="1920" spans="1:7" x14ac:dyDescent="0.25">
      <c r="A19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241019-AFT005</v>
      </c>
      <c r="B1920" s="1" t="str">
        <f>TEXT(Coffee_sales_clean[[#This Row],[Transaction Date]],"dddd")</f>
        <v>Saturday</v>
      </c>
      <c r="C1920" s="12">
        <v>45584</v>
      </c>
      <c r="D1920" s="4">
        <v>0.6789642939814815</v>
      </c>
      <c r="E19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20" t="s">
        <v>0</v>
      </c>
      <c r="G1920" s="2">
        <v>35.76</v>
      </c>
    </row>
    <row r="1921" spans="1:7" x14ac:dyDescent="0.25">
      <c r="A19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241019-LAT001</v>
      </c>
      <c r="B1921" s="1" t="str">
        <f>TEXT(Coffee_sales_clean[[#This Row],[Transaction Date]],"dddd")</f>
        <v>Saturday</v>
      </c>
      <c r="C1921" s="12">
        <v>45584</v>
      </c>
      <c r="D1921" s="4">
        <v>0.9074712615740741</v>
      </c>
      <c r="E19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21" t="s">
        <v>4</v>
      </c>
      <c r="G1921" s="2">
        <v>35.76</v>
      </c>
    </row>
    <row r="1922" spans="1:7" x14ac:dyDescent="0.25">
      <c r="A19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241019-LAT002</v>
      </c>
      <c r="B1922" s="1" t="str">
        <f>TEXT(Coffee_sales_clean[[#This Row],[Transaction Date]],"dddd")</f>
        <v>Saturday</v>
      </c>
      <c r="C1922" s="12">
        <v>45584</v>
      </c>
      <c r="D1922" s="4">
        <v>0.94904741898148148</v>
      </c>
      <c r="E19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22" t="s">
        <v>7</v>
      </c>
      <c r="G1922" s="2">
        <v>35.76</v>
      </c>
    </row>
    <row r="1923" spans="1:7" x14ac:dyDescent="0.25">
      <c r="A19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241020-MOR001</v>
      </c>
      <c r="B1923" s="1" t="str">
        <f>TEXT(Coffee_sales_clean[[#This Row],[Transaction Date]],"dddd")</f>
        <v>Sunday</v>
      </c>
      <c r="C1923" s="12">
        <v>45585</v>
      </c>
      <c r="D1923" s="4">
        <v>0.36161997685185188</v>
      </c>
      <c r="E19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23" t="s">
        <v>0</v>
      </c>
      <c r="G1923" s="2">
        <v>35.76</v>
      </c>
    </row>
    <row r="1924" spans="1:7" x14ac:dyDescent="0.25">
      <c r="A19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241020-MOR002</v>
      </c>
      <c r="B1924" s="1" t="str">
        <f>TEXT(Coffee_sales_clean[[#This Row],[Transaction Date]],"dddd")</f>
        <v>Sunday</v>
      </c>
      <c r="C1924" s="12">
        <v>45585</v>
      </c>
      <c r="D1924" s="4">
        <v>0.36238971064814812</v>
      </c>
      <c r="E19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24" t="s">
        <v>4</v>
      </c>
      <c r="G1924" s="2">
        <v>35.76</v>
      </c>
    </row>
    <row r="1925" spans="1:7" x14ac:dyDescent="0.25">
      <c r="A19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241020-LUN001</v>
      </c>
      <c r="B1925" s="1" t="str">
        <f>TEXT(Coffee_sales_clean[[#This Row],[Transaction Date]],"dddd")</f>
        <v>Sunday</v>
      </c>
      <c r="C1925" s="12">
        <v>45585</v>
      </c>
      <c r="D1925" s="4">
        <v>0.47004445601851852</v>
      </c>
      <c r="E19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25" t="s">
        <v>0</v>
      </c>
      <c r="G1925" s="2">
        <v>35.76</v>
      </c>
    </row>
    <row r="1926" spans="1:7" x14ac:dyDescent="0.25">
      <c r="A19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241020-AFT001</v>
      </c>
      <c r="B1926" s="1" t="str">
        <f>TEXT(Coffee_sales_clean[[#This Row],[Transaction Date]],"dddd")</f>
        <v>Sunday</v>
      </c>
      <c r="C1926" s="12">
        <v>45585</v>
      </c>
      <c r="D1926" s="4">
        <v>0.60331069444444441</v>
      </c>
      <c r="E19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26" t="s">
        <v>1</v>
      </c>
      <c r="G1926" s="2">
        <v>35.76</v>
      </c>
    </row>
    <row r="1927" spans="1:7" x14ac:dyDescent="0.25">
      <c r="A19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241020-AFT002</v>
      </c>
      <c r="B1927" s="1" t="str">
        <f>TEXT(Coffee_sales_clean[[#This Row],[Transaction Date]],"dddd")</f>
        <v>Sunday</v>
      </c>
      <c r="C1927" s="12">
        <v>45585</v>
      </c>
      <c r="D1927" s="4">
        <v>0.60397621527777778</v>
      </c>
      <c r="E19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27" t="s">
        <v>5</v>
      </c>
      <c r="G1927" s="2">
        <v>25.96</v>
      </c>
    </row>
    <row r="1928" spans="1:7" x14ac:dyDescent="0.25">
      <c r="A19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241020-AFT003</v>
      </c>
      <c r="B1928" s="1" t="str">
        <f>TEXT(Coffee_sales_clean[[#This Row],[Transaction Date]],"dddd")</f>
        <v>Sunday</v>
      </c>
      <c r="C1928" s="12">
        <v>45585</v>
      </c>
      <c r="D1928" s="4">
        <v>0.66163258101851852</v>
      </c>
      <c r="E19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28" t="s">
        <v>3</v>
      </c>
      <c r="G1928" s="2">
        <v>30.86</v>
      </c>
    </row>
    <row r="1929" spans="1:7" x14ac:dyDescent="0.25">
      <c r="A19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241020-AFT004</v>
      </c>
      <c r="B1929" s="1" t="str">
        <f>TEXT(Coffee_sales_clean[[#This Row],[Transaction Date]],"dddd")</f>
        <v>Sunday</v>
      </c>
      <c r="C1929" s="12">
        <v>45585</v>
      </c>
      <c r="D1929" s="4">
        <v>0.6980298958333333</v>
      </c>
      <c r="E19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29" t="s">
        <v>0</v>
      </c>
      <c r="G1929" s="2">
        <v>35.76</v>
      </c>
    </row>
    <row r="1930" spans="1:7" x14ac:dyDescent="0.25">
      <c r="A19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241020-AFT005</v>
      </c>
      <c r="B1930" s="1" t="str">
        <f>TEXT(Coffee_sales_clean[[#This Row],[Transaction Date]],"dddd")</f>
        <v>Sunday</v>
      </c>
      <c r="C1930" s="12">
        <v>45585</v>
      </c>
      <c r="D1930" s="4">
        <v>0.69866684027777781</v>
      </c>
      <c r="E19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30" t="s">
        <v>0</v>
      </c>
      <c r="G1930" s="2">
        <v>35.76</v>
      </c>
    </row>
    <row r="1931" spans="1:7" x14ac:dyDescent="0.25">
      <c r="A19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241020-EVE001</v>
      </c>
      <c r="B1931" s="1" t="str">
        <f>TEXT(Coffee_sales_clean[[#This Row],[Transaction Date]],"dddd")</f>
        <v>Sunday</v>
      </c>
      <c r="C1931" s="12">
        <v>45585</v>
      </c>
      <c r="D1931" s="4">
        <v>0.72715077546296292</v>
      </c>
      <c r="E19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31" t="s">
        <v>0</v>
      </c>
      <c r="G1931" s="2">
        <v>35.76</v>
      </c>
    </row>
    <row r="1932" spans="1:7" x14ac:dyDescent="0.25">
      <c r="A19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241020-EVE002</v>
      </c>
      <c r="B1932" s="1" t="str">
        <f>TEXT(Coffee_sales_clean[[#This Row],[Transaction Date]],"dddd")</f>
        <v>Sunday</v>
      </c>
      <c r="C1932" s="12">
        <v>45585</v>
      </c>
      <c r="D1932" s="4">
        <v>0.773800775462963</v>
      </c>
      <c r="E19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32" t="s">
        <v>4</v>
      </c>
      <c r="G1932" s="2">
        <v>35.76</v>
      </c>
    </row>
    <row r="1933" spans="1:7" x14ac:dyDescent="0.25">
      <c r="A19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241020-EVE003</v>
      </c>
      <c r="B1933" s="1" t="str">
        <f>TEXT(Coffee_sales_clean[[#This Row],[Transaction Date]],"dddd")</f>
        <v>Sunday</v>
      </c>
      <c r="C1933" s="12">
        <v>45585</v>
      </c>
      <c r="D1933" s="4">
        <v>0.77440002314814815</v>
      </c>
      <c r="E19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33" t="s">
        <v>4</v>
      </c>
      <c r="G1933" s="2">
        <v>35.76</v>
      </c>
    </row>
    <row r="1934" spans="1:7" x14ac:dyDescent="0.25">
      <c r="A19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241020-LAT001</v>
      </c>
      <c r="B1934" s="1" t="str">
        <f>TEXT(Coffee_sales_clean[[#This Row],[Transaction Date]],"dddd")</f>
        <v>Sunday</v>
      </c>
      <c r="C1934" s="12">
        <v>45585</v>
      </c>
      <c r="D1934" s="4">
        <v>0.8849310763888889</v>
      </c>
      <c r="E19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34" t="s">
        <v>1</v>
      </c>
      <c r="G1934" s="2">
        <v>35.76</v>
      </c>
    </row>
    <row r="1935" spans="1:7" x14ac:dyDescent="0.25">
      <c r="A19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241020-LAT002</v>
      </c>
      <c r="B1935" s="1" t="str">
        <f>TEXT(Coffee_sales_clean[[#This Row],[Transaction Date]],"dddd")</f>
        <v>Sunday</v>
      </c>
      <c r="C1935" s="12">
        <v>45585</v>
      </c>
      <c r="D1935" s="4">
        <v>0.88562245370370374</v>
      </c>
      <c r="E19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35" t="s">
        <v>5</v>
      </c>
      <c r="G1935" s="2">
        <v>25.96</v>
      </c>
    </row>
    <row r="1936" spans="1:7" x14ac:dyDescent="0.25">
      <c r="A19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241020-LAT003</v>
      </c>
      <c r="B1936" s="1" t="str">
        <f>TEXT(Coffee_sales_clean[[#This Row],[Transaction Date]],"dddd")</f>
        <v>Sunday</v>
      </c>
      <c r="C1936" s="12">
        <v>45585</v>
      </c>
      <c r="D1936" s="4">
        <v>0.88711649305555551</v>
      </c>
      <c r="E19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36" t="s">
        <v>4</v>
      </c>
      <c r="G1936" s="2">
        <v>35.76</v>
      </c>
    </row>
    <row r="1937" spans="1:7" x14ac:dyDescent="0.25">
      <c r="A19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241020-LAT004</v>
      </c>
      <c r="B1937" s="1" t="str">
        <f>TEXT(Coffee_sales_clean[[#This Row],[Transaction Date]],"dddd")</f>
        <v>Sunday</v>
      </c>
      <c r="C1937" s="12">
        <v>45585</v>
      </c>
      <c r="D1937" s="4">
        <v>0.89236209490740737</v>
      </c>
      <c r="E19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37" t="s">
        <v>0</v>
      </c>
      <c r="G1937" s="2">
        <v>35.76</v>
      </c>
    </row>
    <row r="1938" spans="1:7" x14ac:dyDescent="0.25">
      <c r="A19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241020-LAT005</v>
      </c>
      <c r="B1938" s="1" t="str">
        <f>TEXT(Coffee_sales_clean[[#This Row],[Transaction Date]],"dddd")</f>
        <v>Sunday</v>
      </c>
      <c r="C1938" s="12">
        <v>45585</v>
      </c>
      <c r="D1938" s="4">
        <v>0.92880834490740738</v>
      </c>
      <c r="E19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38" t="s">
        <v>7</v>
      </c>
      <c r="G1938" s="2">
        <v>35.76</v>
      </c>
    </row>
    <row r="1939" spans="1:7" x14ac:dyDescent="0.25">
      <c r="A19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241021-MOR001</v>
      </c>
      <c r="B1939" s="1" t="str">
        <f>TEXT(Coffee_sales_clean[[#This Row],[Transaction Date]],"dddd")</f>
        <v>Monday</v>
      </c>
      <c r="C1939" s="12">
        <v>45586</v>
      </c>
      <c r="D1939" s="4">
        <v>0.32549869212962962</v>
      </c>
      <c r="E19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39" t="s">
        <v>0</v>
      </c>
      <c r="G1939" s="2">
        <v>35.76</v>
      </c>
    </row>
    <row r="1940" spans="1:7" x14ac:dyDescent="0.25">
      <c r="A19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241021-MOR002</v>
      </c>
      <c r="B1940" s="1" t="str">
        <f>TEXT(Coffee_sales_clean[[#This Row],[Transaction Date]],"dddd")</f>
        <v>Monday</v>
      </c>
      <c r="C1940" s="12">
        <v>45586</v>
      </c>
      <c r="D1940" s="4">
        <v>0.34718035879629627</v>
      </c>
      <c r="E19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40" t="s">
        <v>0</v>
      </c>
      <c r="G1940" s="2">
        <v>35.76</v>
      </c>
    </row>
    <row r="1941" spans="1:7" x14ac:dyDescent="0.25">
      <c r="A19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241021-MOR003</v>
      </c>
      <c r="B1941" s="1" t="str">
        <f>TEXT(Coffee_sales_clean[[#This Row],[Transaction Date]],"dddd")</f>
        <v>Monday</v>
      </c>
      <c r="C1941" s="12">
        <v>45586</v>
      </c>
      <c r="D1941" s="4">
        <v>0.37840780092592591</v>
      </c>
      <c r="E19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41" t="s">
        <v>3</v>
      </c>
      <c r="G1941" s="2">
        <v>30.86</v>
      </c>
    </row>
    <row r="1942" spans="1:7" x14ac:dyDescent="0.25">
      <c r="A19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241021-MOR004</v>
      </c>
      <c r="B1942" s="1" t="str">
        <f>TEXT(Coffee_sales_clean[[#This Row],[Transaction Date]],"dddd")</f>
        <v>Monday</v>
      </c>
      <c r="C1942" s="12">
        <v>45586</v>
      </c>
      <c r="D1942" s="4">
        <v>0.39890679398148149</v>
      </c>
      <c r="E19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42" t="s">
        <v>0</v>
      </c>
      <c r="G1942" s="2">
        <v>35.76</v>
      </c>
    </row>
    <row r="1943" spans="1:7" x14ac:dyDescent="0.25">
      <c r="A19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241021-MOR005</v>
      </c>
      <c r="B1943" s="1" t="str">
        <f>TEXT(Coffee_sales_clean[[#This Row],[Transaction Date]],"dddd")</f>
        <v>Monday</v>
      </c>
      <c r="C1943" s="12">
        <v>45586</v>
      </c>
      <c r="D1943" s="4">
        <v>0.43413592592592593</v>
      </c>
      <c r="E19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43" t="s">
        <v>2</v>
      </c>
      <c r="G1943" s="2">
        <v>25.96</v>
      </c>
    </row>
    <row r="1944" spans="1:7" x14ac:dyDescent="0.25">
      <c r="A19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241021-MOR006</v>
      </c>
      <c r="B1944" s="1" t="str">
        <f>TEXT(Coffee_sales_clean[[#This Row],[Transaction Date]],"dddd")</f>
        <v>Monday</v>
      </c>
      <c r="C1944" s="12">
        <v>45586</v>
      </c>
      <c r="D1944" s="4">
        <v>0.44565653935185184</v>
      </c>
      <c r="E19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44" t="s">
        <v>5</v>
      </c>
      <c r="G1944" s="2">
        <v>25.96</v>
      </c>
    </row>
    <row r="1945" spans="1:7" x14ac:dyDescent="0.25">
      <c r="A19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241021-MOR007</v>
      </c>
      <c r="B1945" s="1" t="str">
        <f>TEXT(Coffee_sales_clean[[#This Row],[Transaction Date]],"dddd")</f>
        <v>Monday</v>
      </c>
      <c r="C1945" s="12">
        <v>45586</v>
      </c>
      <c r="D1945" s="4">
        <v>0.44624484953703702</v>
      </c>
      <c r="E19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45" t="s">
        <v>5</v>
      </c>
      <c r="G1945" s="2">
        <v>25.96</v>
      </c>
    </row>
    <row r="1946" spans="1:7" x14ac:dyDescent="0.25">
      <c r="A19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241021-LUN001</v>
      </c>
      <c r="B1946" s="1" t="str">
        <f>TEXT(Coffee_sales_clean[[#This Row],[Transaction Date]],"dddd")</f>
        <v>Monday</v>
      </c>
      <c r="C1946" s="12">
        <v>45586</v>
      </c>
      <c r="D1946" s="4">
        <v>0.47756543981481481</v>
      </c>
      <c r="E19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46" t="s">
        <v>6</v>
      </c>
      <c r="G1946" s="2">
        <v>21.06</v>
      </c>
    </row>
    <row r="1947" spans="1:7" x14ac:dyDescent="0.25">
      <c r="A19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241021-LUN002</v>
      </c>
      <c r="B1947" s="1" t="str">
        <f>TEXT(Coffee_sales_clean[[#This Row],[Transaction Date]],"dddd")</f>
        <v>Monday</v>
      </c>
      <c r="C1947" s="12">
        <v>45586</v>
      </c>
      <c r="D1947" s="4">
        <v>0.52805895833333338</v>
      </c>
      <c r="E19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47" t="s">
        <v>7</v>
      </c>
      <c r="G1947" s="2">
        <v>35.76</v>
      </c>
    </row>
    <row r="1948" spans="1:7" x14ac:dyDescent="0.25">
      <c r="A19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241021-AFT001</v>
      </c>
      <c r="B1948" s="1" t="str">
        <f>TEXT(Coffee_sales_clean[[#This Row],[Transaction Date]],"dddd")</f>
        <v>Monday</v>
      </c>
      <c r="C1948" s="12">
        <v>45586</v>
      </c>
      <c r="D1948" s="4">
        <v>0.61314871527777781</v>
      </c>
      <c r="E19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48" t="s">
        <v>0</v>
      </c>
      <c r="G1948" s="2">
        <v>35.76</v>
      </c>
    </row>
    <row r="1949" spans="1:7" x14ac:dyDescent="0.25">
      <c r="A19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241021-AFT002</v>
      </c>
      <c r="B1949" s="1" t="str">
        <f>TEXT(Coffee_sales_clean[[#This Row],[Transaction Date]],"dddd")</f>
        <v>Monday</v>
      </c>
      <c r="C1949" s="12">
        <v>45586</v>
      </c>
      <c r="D1949" s="4">
        <v>0.61386628472222227</v>
      </c>
      <c r="E19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49" t="s">
        <v>0</v>
      </c>
      <c r="G1949" s="2">
        <v>35.76</v>
      </c>
    </row>
    <row r="1950" spans="1:7" x14ac:dyDescent="0.25">
      <c r="A19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241021-AFT003</v>
      </c>
      <c r="B1950" s="1" t="str">
        <f>TEXT(Coffee_sales_clean[[#This Row],[Transaction Date]],"dddd")</f>
        <v>Monday</v>
      </c>
      <c r="C1950" s="12">
        <v>45586</v>
      </c>
      <c r="D1950" s="4">
        <v>0.64377825231481478</v>
      </c>
      <c r="E19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50" t="s">
        <v>3</v>
      </c>
      <c r="G1950" s="2">
        <v>30.86</v>
      </c>
    </row>
    <row r="1951" spans="1:7" x14ac:dyDescent="0.25">
      <c r="A19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241021-AFT004</v>
      </c>
      <c r="B1951" s="1" t="str">
        <f>TEXT(Coffee_sales_clean[[#This Row],[Transaction Date]],"dddd")</f>
        <v>Monday</v>
      </c>
      <c r="C1951" s="12">
        <v>45586</v>
      </c>
      <c r="D1951" s="4">
        <v>0.65213756944444445</v>
      </c>
      <c r="E19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51" t="s">
        <v>5</v>
      </c>
      <c r="G1951" s="2">
        <v>25.96</v>
      </c>
    </row>
    <row r="1952" spans="1:7" x14ac:dyDescent="0.25">
      <c r="A19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241021-AFT005</v>
      </c>
      <c r="B1952" s="1" t="str">
        <f>TEXT(Coffee_sales_clean[[#This Row],[Transaction Date]],"dddd")</f>
        <v>Monday</v>
      </c>
      <c r="C1952" s="12">
        <v>45586</v>
      </c>
      <c r="D1952" s="4">
        <v>0.69649847222222228</v>
      </c>
      <c r="E19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52" t="s">
        <v>4</v>
      </c>
      <c r="G1952" s="2">
        <v>35.76</v>
      </c>
    </row>
    <row r="1953" spans="1:7" x14ac:dyDescent="0.25">
      <c r="A19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241021-AFT006</v>
      </c>
      <c r="B1953" s="1" t="str">
        <f>TEXT(Coffee_sales_clean[[#This Row],[Transaction Date]],"dddd")</f>
        <v>Monday</v>
      </c>
      <c r="C1953" s="12">
        <v>45586</v>
      </c>
      <c r="D1953" s="4">
        <v>0.7051220949074074</v>
      </c>
      <c r="E19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53" t="s">
        <v>0</v>
      </c>
      <c r="G1953" s="2">
        <v>35.76</v>
      </c>
    </row>
    <row r="1954" spans="1:7" x14ac:dyDescent="0.25">
      <c r="A19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241021-EVE001</v>
      </c>
      <c r="B1954" s="1" t="str">
        <f>TEXT(Coffee_sales_clean[[#This Row],[Transaction Date]],"dddd")</f>
        <v>Monday</v>
      </c>
      <c r="C1954" s="12">
        <v>45586</v>
      </c>
      <c r="D1954" s="4">
        <v>0.80640453703703707</v>
      </c>
      <c r="E19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54" t="s">
        <v>1</v>
      </c>
      <c r="G1954" s="2">
        <v>35.76</v>
      </c>
    </row>
    <row r="1955" spans="1:7" x14ac:dyDescent="0.25">
      <c r="A19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241021-LAT001</v>
      </c>
      <c r="B1955" s="1" t="str">
        <f>TEXT(Coffee_sales_clean[[#This Row],[Transaction Date]],"dddd")</f>
        <v>Monday</v>
      </c>
      <c r="C1955" s="12">
        <v>45586</v>
      </c>
      <c r="D1955" s="4">
        <v>0.87889011574074072</v>
      </c>
      <c r="E19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55" t="s">
        <v>0</v>
      </c>
      <c r="G1955" s="2">
        <v>35.76</v>
      </c>
    </row>
    <row r="1956" spans="1:7" x14ac:dyDescent="0.25">
      <c r="A19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241021-LAT002</v>
      </c>
      <c r="B1956" s="1" t="str">
        <f>TEXT(Coffee_sales_clean[[#This Row],[Transaction Date]],"dddd")</f>
        <v>Monday</v>
      </c>
      <c r="C1956" s="12">
        <v>45586</v>
      </c>
      <c r="D1956" s="4">
        <v>0.93801446759259255</v>
      </c>
      <c r="E19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56" t="s">
        <v>4</v>
      </c>
      <c r="G1956" s="2">
        <v>35.76</v>
      </c>
    </row>
    <row r="1957" spans="1:7" x14ac:dyDescent="0.25">
      <c r="A19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241021-LAT003</v>
      </c>
      <c r="B1957" s="1" t="str">
        <f>TEXT(Coffee_sales_clean[[#This Row],[Transaction Date]],"dddd")</f>
        <v>Monday</v>
      </c>
      <c r="C1957" s="12">
        <v>45586</v>
      </c>
      <c r="D1957" s="4">
        <v>0.93858756944444444</v>
      </c>
      <c r="E19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57" t="s">
        <v>1</v>
      </c>
      <c r="G1957" s="2">
        <v>35.76</v>
      </c>
    </row>
    <row r="1958" spans="1:7" x14ac:dyDescent="0.25">
      <c r="A19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241022-MOR001</v>
      </c>
      <c r="B1958" s="1" t="str">
        <f>TEXT(Coffee_sales_clean[[#This Row],[Transaction Date]],"dddd")</f>
        <v>Tuesday</v>
      </c>
      <c r="C1958" s="12">
        <v>45587</v>
      </c>
      <c r="D1958" s="4">
        <v>0.3145778935185185</v>
      </c>
      <c r="E19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58" t="s">
        <v>0</v>
      </c>
      <c r="G1958" s="2">
        <v>35.76</v>
      </c>
    </row>
    <row r="1959" spans="1:7" x14ac:dyDescent="0.25">
      <c r="A19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241022-MOR002</v>
      </c>
      <c r="B1959" s="1" t="str">
        <f>TEXT(Coffee_sales_clean[[#This Row],[Transaction Date]],"dddd")</f>
        <v>Tuesday</v>
      </c>
      <c r="C1959" s="12">
        <v>45587</v>
      </c>
      <c r="D1959" s="4">
        <v>0.31527828703703703</v>
      </c>
      <c r="E19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59" t="s">
        <v>7</v>
      </c>
      <c r="G1959" s="2">
        <v>35.76</v>
      </c>
    </row>
    <row r="1960" spans="1:7" x14ac:dyDescent="0.25">
      <c r="A19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241022-MOR003</v>
      </c>
      <c r="B1960" s="1" t="str">
        <f>TEXT(Coffee_sales_clean[[#This Row],[Transaction Date]],"dddd")</f>
        <v>Tuesday</v>
      </c>
      <c r="C1960" s="12">
        <v>45587</v>
      </c>
      <c r="D1960" s="4">
        <v>0.35106736111111109</v>
      </c>
      <c r="E19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60" t="s">
        <v>3</v>
      </c>
      <c r="G1960" s="2">
        <v>30.86</v>
      </c>
    </row>
    <row r="1961" spans="1:7" x14ac:dyDescent="0.25">
      <c r="A19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241022-MOR004</v>
      </c>
      <c r="B1961" s="1" t="str">
        <f>TEXT(Coffee_sales_clean[[#This Row],[Transaction Date]],"dddd")</f>
        <v>Tuesday</v>
      </c>
      <c r="C1961" s="12">
        <v>45587</v>
      </c>
      <c r="D1961" s="4">
        <v>0.3873889699074074</v>
      </c>
      <c r="E19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61" t="s">
        <v>5</v>
      </c>
      <c r="G1961" s="2">
        <v>25.96</v>
      </c>
    </row>
    <row r="1962" spans="1:7" x14ac:dyDescent="0.25">
      <c r="A19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241022-MOR005</v>
      </c>
      <c r="B1962" s="1" t="str">
        <f>TEXT(Coffee_sales_clean[[#This Row],[Transaction Date]],"dddd")</f>
        <v>Tuesday</v>
      </c>
      <c r="C1962" s="12">
        <v>45587</v>
      </c>
      <c r="D1962" s="4">
        <v>0.45245701388888887</v>
      </c>
      <c r="E19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62" t="s">
        <v>6</v>
      </c>
      <c r="G1962" s="2">
        <v>21.06</v>
      </c>
    </row>
    <row r="1963" spans="1:7" x14ac:dyDescent="0.25">
      <c r="A19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241022-MOR006</v>
      </c>
      <c r="B1963" s="1" t="str">
        <f>TEXT(Coffee_sales_clean[[#This Row],[Transaction Date]],"dddd")</f>
        <v>Tuesday</v>
      </c>
      <c r="C1963" s="12">
        <v>45587</v>
      </c>
      <c r="D1963" s="4">
        <v>0.4529757060185185</v>
      </c>
      <c r="E19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63" t="s">
        <v>5</v>
      </c>
      <c r="G1963" s="2">
        <v>25.96</v>
      </c>
    </row>
    <row r="1964" spans="1:7" x14ac:dyDescent="0.25">
      <c r="A19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241022-EVE001</v>
      </c>
      <c r="B1964" s="1" t="str">
        <f>TEXT(Coffee_sales_clean[[#This Row],[Transaction Date]],"dddd")</f>
        <v>Tuesday</v>
      </c>
      <c r="C1964" s="12">
        <v>45587</v>
      </c>
      <c r="D1964" s="4">
        <v>0.75489090277777782</v>
      </c>
      <c r="E19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64" t="s">
        <v>2</v>
      </c>
      <c r="G1964" s="2">
        <v>25.96</v>
      </c>
    </row>
    <row r="1965" spans="1:7" x14ac:dyDescent="0.25">
      <c r="A19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241022-EVE002</v>
      </c>
      <c r="B1965" s="1" t="str">
        <f>TEXT(Coffee_sales_clean[[#This Row],[Transaction Date]],"dddd")</f>
        <v>Tuesday</v>
      </c>
      <c r="C1965" s="12">
        <v>45587</v>
      </c>
      <c r="D1965" s="4">
        <v>0.82406496527777773</v>
      </c>
      <c r="E19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65" t="s">
        <v>1</v>
      </c>
      <c r="G1965" s="2">
        <v>35.76</v>
      </c>
    </row>
    <row r="1966" spans="1:7" x14ac:dyDescent="0.25">
      <c r="A19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241022-EVE003</v>
      </c>
      <c r="B1966" s="1" t="str">
        <f>TEXT(Coffee_sales_clean[[#This Row],[Transaction Date]],"dddd")</f>
        <v>Tuesday</v>
      </c>
      <c r="C1966" s="12">
        <v>45587</v>
      </c>
      <c r="D1966" s="4">
        <v>0.82488965277777782</v>
      </c>
      <c r="E19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66" t="s">
        <v>0</v>
      </c>
      <c r="G1966" s="2">
        <v>35.76</v>
      </c>
    </row>
    <row r="1967" spans="1:7" x14ac:dyDescent="0.25">
      <c r="A19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241023-MOR001</v>
      </c>
      <c r="B1967" s="1" t="str">
        <f>TEXT(Coffee_sales_clean[[#This Row],[Transaction Date]],"dddd")</f>
        <v>Wednesday</v>
      </c>
      <c r="C1967" s="12">
        <v>45588</v>
      </c>
      <c r="D1967" s="4">
        <v>0.33202276620370369</v>
      </c>
      <c r="E19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67" t="s">
        <v>0</v>
      </c>
      <c r="G1967" s="2">
        <v>35.76</v>
      </c>
    </row>
    <row r="1968" spans="1:7" x14ac:dyDescent="0.25">
      <c r="A19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241023-MOR002</v>
      </c>
      <c r="B1968" s="1" t="str">
        <f>TEXT(Coffee_sales_clean[[#This Row],[Transaction Date]],"dddd")</f>
        <v>Wednesday</v>
      </c>
      <c r="C1968" s="12">
        <v>45588</v>
      </c>
      <c r="D1968" s="4">
        <v>0.3647546064814815</v>
      </c>
      <c r="E19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68" t="s">
        <v>3</v>
      </c>
      <c r="G1968" s="2">
        <v>30.86</v>
      </c>
    </row>
    <row r="1969" spans="1:7" x14ac:dyDescent="0.25">
      <c r="A19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241023-MOR003</v>
      </c>
      <c r="B1969" s="1" t="str">
        <f>TEXT(Coffee_sales_clean[[#This Row],[Transaction Date]],"dddd")</f>
        <v>Wednesday</v>
      </c>
      <c r="C1969" s="12">
        <v>45588</v>
      </c>
      <c r="D1969" s="4">
        <v>0.43400218750000003</v>
      </c>
      <c r="E19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69" t="s">
        <v>5</v>
      </c>
      <c r="G1969" s="2">
        <v>25.96</v>
      </c>
    </row>
    <row r="1970" spans="1:7" x14ac:dyDescent="0.25">
      <c r="A19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241023-LUN001</v>
      </c>
      <c r="B1970" s="1" t="str">
        <f>TEXT(Coffee_sales_clean[[#This Row],[Transaction Date]],"dddd")</f>
        <v>Wednesday</v>
      </c>
      <c r="C1970" s="12">
        <v>45588</v>
      </c>
      <c r="D1970" s="4">
        <v>0.52159056712962959</v>
      </c>
      <c r="E19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70" t="s">
        <v>3</v>
      </c>
      <c r="G1970" s="2">
        <v>30.86</v>
      </c>
    </row>
    <row r="1971" spans="1:7" x14ac:dyDescent="0.25">
      <c r="A19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241023-AFT001</v>
      </c>
      <c r="B1971" s="1" t="str">
        <f>TEXT(Coffee_sales_clean[[#This Row],[Transaction Date]],"dddd")</f>
        <v>Wednesday</v>
      </c>
      <c r="C1971" s="12">
        <v>45588</v>
      </c>
      <c r="D1971" s="4">
        <v>0.68058173611111106</v>
      </c>
      <c r="E19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71" t="s">
        <v>3</v>
      </c>
      <c r="G1971" s="2">
        <v>30.86</v>
      </c>
    </row>
    <row r="1972" spans="1:7" x14ac:dyDescent="0.25">
      <c r="A19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241023-AFT002</v>
      </c>
      <c r="B1972" s="1" t="str">
        <f>TEXT(Coffee_sales_clean[[#This Row],[Transaction Date]],"dddd")</f>
        <v>Wednesday</v>
      </c>
      <c r="C1972" s="12">
        <v>45588</v>
      </c>
      <c r="D1972" s="4">
        <v>0.68135457175925929</v>
      </c>
      <c r="E19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72" t="s">
        <v>3</v>
      </c>
      <c r="G1972" s="2">
        <v>30.86</v>
      </c>
    </row>
    <row r="1973" spans="1:7" x14ac:dyDescent="0.25">
      <c r="A19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241023-AFT003</v>
      </c>
      <c r="B1973" s="1" t="str">
        <f>TEXT(Coffee_sales_clean[[#This Row],[Transaction Date]],"dddd")</f>
        <v>Wednesday</v>
      </c>
      <c r="C1973" s="12">
        <v>45588</v>
      </c>
      <c r="D1973" s="4">
        <v>0.69618310185185184</v>
      </c>
      <c r="E19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73" t="s">
        <v>7</v>
      </c>
      <c r="G1973" s="2">
        <v>35.76</v>
      </c>
    </row>
    <row r="1974" spans="1:7" x14ac:dyDescent="0.25">
      <c r="A19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241023-EVE001</v>
      </c>
      <c r="B1974" s="1" t="str">
        <f>TEXT(Coffee_sales_clean[[#This Row],[Transaction Date]],"dddd")</f>
        <v>Wednesday</v>
      </c>
      <c r="C1974" s="12">
        <v>45588</v>
      </c>
      <c r="D1974" s="4">
        <v>0.71025843749999995</v>
      </c>
      <c r="E19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74" t="s">
        <v>6</v>
      </c>
      <c r="G1974" s="2">
        <v>21.06</v>
      </c>
    </row>
    <row r="1975" spans="1:7" x14ac:dyDescent="0.25">
      <c r="A19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241023-EVE002</v>
      </c>
      <c r="B1975" s="1" t="str">
        <f>TEXT(Coffee_sales_clean[[#This Row],[Transaction Date]],"dddd")</f>
        <v>Wednesday</v>
      </c>
      <c r="C1975" s="12">
        <v>45588</v>
      </c>
      <c r="D1975" s="4">
        <v>0.79095498842592593</v>
      </c>
      <c r="E19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75" t="s">
        <v>4</v>
      </c>
      <c r="G1975" s="2">
        <v>35.76</v>
      </c>
    </row>
    <row r="1976" spans="1:7" x14ac:dyDescent="0.25">
      <c r="A19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241023-EVE003</v>
      </c>
      <c r="B1976" s="1" t="str">
        <f>TEXT(Coffee_sales_clean[[#This Row],[Transaction Date]],"dddd")</f>
        <v>Wednesday</v>
      </c>
      <c r="C1976" s="12">
        <v>45588</v>
      </c>
      <c r="D1976" s="4">
        <v>0.79216468750000002</v>
      </c>
      <c r="E19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76" t="s">
        <v>7</v>
      </c>
      <c r="G1976" s="2">
        <v>35.76</v>
      </c>
    </row>
    <row r="1977" spans="1:7" x14ac:dyDescent="0.25">
      <c r="A19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241023-LAT001</v>
      </c>
      <c r="B1977" s="1" t="str">
        <f>TEXT(Coffee_sales_clean[[#This Row],[Transaction Date]],"dddd")</f>
        <v>Wednesday</v>
      </c>
      <c r="C1977" s="12">
        <v>45588</v>
      </c>
      <c r="D1977" s="4">
        <v>0.91482343749999995</v>
      </c>
      <c r="E19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77" t="s">
        <v>3</v>
      </c>
      <c r="G1977" s="2">
        <v>30.86</v>
      </c>
    </row>
    <row r="1978" spans="1:7" x14ac:dyDescent="0.25">
      <c r="A19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241023-LAT002</v>
      </c>
      <c r="B1978" s="1" t="str">
        <f>TEXT(Coffee_sales_clean[[#This Row],[Transaction Date]],"dddd")</f>
        <v>Wednesday</v>
      </c>
      <c r="C1978" s="12">
        <v>45588</v>
      </c>
      <c r="D1978" s="4">
        <v>0.91555262731481479</v>
      </c>
      <c r="E19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78" t="s">
        <v>1</v>
      </c>
      <c r="G1978" s="2">
        <v>35.76</v>
      </c>
    </row>
    <row r="1979" spans="1:7" x14ac:dyDescent="0.25">
      <c r="A19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241023-LAT003</v>
      </c>
      <c r="B1979" s="1" t="str">
        <f>TEXT(Coffee_sales_clean[[#This Row],[Transaction Date]],"dddd")</f>
        <v>Wednesday</v>
      </c>
      <c r="C1979" s="12">
        <v>45588</v>
      </c>
      <c r="D1979" s="4">
        <v>0.93308229166666667</v>
      </c>
      <c r="E19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79" t="s">
        <v>0</v>
      </c>
      <c r="G1979" s="2">
        <v>35.76</v>
      </c>
    </row>
    <row r="1980" spans="1:7" x14ac:dyDescent="0.25">
      <c r="A19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241024-LUN001</v>
      </c>
      <c r="B1980" s="1" t="str">
        <f>TEXT(Coffee_sales_clean[[#This Row],[Transaction Date]],"dddd")</f>
        <v>Thursday</v>
      </c>
      <c r="C1980" s="12">
        <v>45589</v>
      </c>
      <c r="D1980" s="4">
        <v>0.50540002314814814</v>
      </c>
      <c r="E19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80" t="s">
        <v>2</v>
      </c>
      <c r="G1980" s="2">
        <v>25.96</v>
      </c>
    </row>
    <row r="1981" spans="1:7" x14ac:dyDescent="0.25">
      <c r="A19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241024-LUN002</v>
      </c>
      <c r="B1981" s="1" t="str">
        <f>TEXT(Coffee_sales_clean[[#This Row],[Transaction Date]],"dddd")</f>
        <v>Thursday</v>
      </c>
      <c r="C1981" s="12">
        <v>45589</v>
      </c>
      <c r="D1981" s="4">
        <v>0.55832848379629629</v>
      </c>
      <c r="E19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1981" t="s">
        <v>7</v>
      </c>
      <c r="G1981" s="2">
        <v>35.76</v>
      </c>
    </row>
    <row r="1982" spans="1:7" x14ac:dyDescent="0.25">
      <c r="A19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241024-AFT001</v>
      </c>
      <c r="B1982" s="1" t="str">
        <f>TEXT(Coffee_sales_clean[[#This Row],[Transaction Date]],"dddd")</f>
        <v>Thursday</v>
      </c>
      <c r="C1982" s="12">
        <v>45589</v>
      </c>
      <c r="D1982" s="4">
        <v>0.59012396990740745</v>
      </c>
      <c r="E19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82" t="s">
        <v>7</v>
      </c>
      <c r="G1982" s="2">
        <v>35.76</v>
      </c>
    </row>
    <row r="1983" spans="1:7" x14ac:dyDescent="0.25">
      <c r="A19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241024-AFT002</v>
      </c>
      <c r="B1983" s="1" t="str">
        <f>TEXT(Coffee_sales_clean[[#This Row],[Transaction Date]],"dddd")</f>
        <v>Thursday</v>
      </c>
      <c r="C1983" s="12">
        <v>45589</v>
      </c>
      <c r="D1983" s="4">
        <v>0.61738262731481486</v>
      </c>
      <c r="E19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83" t="s">
        <v>1</v>
      </c>
      <c r="G1983" s="2">
        <v>35.76</v>
      </c>
    </row>
    <row r="1984" spans="1:7" x14ac:dyDescent="0.25">
      <c r="A19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241024-AFT003</v>
      </c>
      <c r="B1984" s="1" t="str">
        <f>TEXT(Coffee_sales_clean[[#This Row],[Transaction Date]],"dddd")</f>
        <v>Thursday</v>
      </c>
      <c r="C1984" s="12">
        <v>45589</v>
      </c>
      <c r="D1984" s="4">
        <v>0.61793217592592597</v>
      </c>
      <c r="E19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84" t="s">
        <v>0</v>
      </c>
      <c r="G1984" s="2">
        <v>35.76</v>
      </c>
    </row>
    <row r="1985" spans="1:7" x14ac:dyDescent="0.25">
      <c r="A19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241024-AFT004</v>
      </c>
      <c r="B1985" s="1" t="str">
        <f>TEXT(Coffee_sales_clean[[#This Row],[Transaction Date]],"dddd")</f>
        <v>Thursday</v>
      </c>
      <c r="C1985" s="12">
        <v>45589</v>
      </c>
      <c r="D1985" s="4">
        <v>0.65801842592592596</v>
      </c>
      <c r="E19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85" t="s">
        <v>0</v>
      </c>
      <c r="G1985" s="2">
        <v>35.76</v>
      </c>
    </row>
    <row r="1986" spans="1:7" x14ac:dyDescent="0.25">
      <c r="A19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241024-AFT005</v>
      </c>
      <c r="B1986" s="1" t="str">
        <f>TEXT(Coffee_sales_clean[[#This Row],[Transaction Date]],"dddd")</f>
        <v>Thursday</v>
      </c>
      <c r="C1986" s="12">
        <v>45589</v>
      </c>
      <c r="D1986" s="4">
        <v>0.65867982638888889</v>
      </c>
      <c r="E19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1986" t="s">
        <v>0</v>
      </c>
      <c r="G1986" s="2">
        <v>35.76</v>
      </c>
    </row>
    <row r="1987" spans="1:7" x14ac:dyDescent="0.25">
      <c r="A19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241024-EVE001</v>
      </c>
      <c r="B1987" s="1" t="str">
        <f>TEXT(Coffee_sales_clean[[#This Row],[Transaction Date]],"dddd")</f>
        <v>Thursday</v>
      </c>
      <c r="C1987" s="12">
        <v>45589</v>
      </c>
      <c r="D1987" s="4">
        <v>0.78735321759259258</v>
      </c>
      <c r="E19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87" t="s">
        <v>2</v>
      </c>
      <c r="G1987" s="2">
        <v>25.96</v>
      </c>
    </row>
    <row r="1988" spans="1:7" x14ac:dyDescent="0.25">
      <c r="A19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241024-EVE002</v>
      </c>
      <c r="B1988" s="1" t="str">
        <f>TEXT(Coffee_sales_clean[[#This Row],[Transaction Date]],"dddd")</f>
        <v>Thursday</v>
      </c>
      <c r="C1988" s="12">
        <v>45589</v>
      </c>
      <c r="D1988" s="4">
        <v>0.78828210648148145</v>
      </c>
      <c r="E19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88" t="s">
        <v>2</v>
      </c>
      <c r="G1988" s="2">
        <v>25.96</v>
      </c>
    </row>
    <row r="1989" spans="1:7" x14ac:dyDescent="0.25">
      <c r="A19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241024-EVE003</v>
      </c>
      <c r="B1989" s="1" t="str">
        <f>TEXT(Coffee_sales_clean[[#This Row],[Transaction Date]],"dddd")</f>
        <v>Thursday</v>
      </c>
      <c r="C1989" s="12">
        <v>45589</v>
      </c>
      <c r="D1989" s="4">
        <v>0.82660574074074078</v>
      </c>
      <c r="E19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1989" t="s">
        <v>0</v>
      </c>
      <c r="G1989" s="2">
        <v>35.76</v>
      </c>
    </row>
    <row r="1990" spans="1:7" x14ac:dyDescent="0.25">
      <c r="A19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241024-LAT001</v>
      </c>
      <c r="B1990" s="1" t="str">
        <f>TEXT(Coffee_sales_clean[[#This Row],[Transaction Date]],"dddd")</f>
        <v>Thursday</v>
      </c>
      <c r="C1990" s="12">
        <v>45589</v>
      </c>
      <c r="D1990" s="4">
        <v>0.86402171296296293</v>
      </c>
      <c r="E19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90" t="s">
        <v>2</v>
      </c>
      <c r="G1990" s="2">
        <v>25.96</v>
      </c>
    </row>
    <row r="1991" spans="1:7" x14ac:dyDescent="0.25">
      <c r="A19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241024-LAT002</v>
      </c>
      <c r="B1991" s="1" t="str">
        <f>TEXT(Coffee_sales_clean[[#This Row],[Transaction Date]],"dddd")</f>
        <v>Thursday</v>
      </c>
      <c r="C1991" s="12">
        <v>45589</v>
      </c>
      <c r="D1991" s="4">
        <v>0.8852417592592593</v>
      </c>
      <c r="E19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91" t="s">
        <v>1</v>
      </c>
      <c r="G1991" s="2">
        <v>35.76</v>
      </c>
    </row>
    <row r="1992" spans="1:7" x14ac:dyDescent="0.25">
      <c r="A19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241024-LAT003</v>
      </c>
      <c r="B1992" s="1" t="str">
        <f>TEXT(Coffee_sales_clean[[#This Row],[Transaction Date]],"dddd")</f>
        <v>Thursday</v>
      </c>
      <c r="C1992" s="12">
        <v>45589</v>
      </c>
      <c r="D1992" s="4">
        <v>0.88575377314814818</v>
      </c>
      <c r="E19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92" t="s">
        <v>1</v>
      </c>
      <c r="G1992" s="2">
        <v>35.76</v>
      </c>
    </row>
    <row r="1993" spans="1:7" x14ac:dyDescent="0.25">
      <c r="A19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241024-LAT004</v>
      </c>
      <c r="B1993" s="1" t="str">
        <f>TEXT(Coffee_sales_clean[[#This Row],[Transaction Date]],"dddd")</f>
        <v>Thursday</v>
      </c>
      <c r="C1993" s="12">
        <v>45589</v>
      </c>
      <c r="D1993" s="4">
        <v>0.91412109953703702</v>
      </c>
      <c r="E19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93" t="s">
        <v>1</v>
      </c>
      <c r="G1993" s="2">
        <v>35.76</v>
      </c>
    </row>
    <row r="1994" spans="1:7" x14ac:dyDescent="0.25">
      <c r="A19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241024-LAT005</v>
      </c>
      <c r="B1994" s="1" t="str">
        <f>TEXT(Coffee_sales_clean[[#This Row],[Transaction Date]],"dddd")</f>
        <v>Thursday</v>
      </c>
      <c r="C1994" s="12">
        <v>45589</v>
      </c>
      <c r="D1994" s="4">
        <v>0.91469939814814816</v>
      </c>
      <c r="E19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1994" t="s">
        <v>7</v>
      </c>
      <c r="G1994" s="2">
        <v>35.76</v>
      </c>
    </row>
    <row r="1995" spans="1:7" x14ac:dyDescent="0.25">
      <c r="A19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241025-MOR001</v>
      </c>
      <c r="B1995" s="1" t="str">
        <f>TEXT(Coffee_sales_clean[[#This Row],[Transaction Date]],"dddd")</f>
        <v>Friday</v>
      </c>
      <c r="C1995" s="12">
        <v>45590</v>
      </c>
      <c r="D1995" s="4">
        <v>0.31818454861111112</v>
      </c>
      <c r="E19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95" t="s">
        <v>7</v>
      </c>
      <c r="G1995" s="2">
        <v>35.76</v>
      </c>
    </row>
    <row r="1996" spans="1:7" x14ac:dyDescent="0.25">
      <c r="A19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241025-MOR002</v>
      </c>
      <c r="B1996" s="1" t="str">
        <f>TEXT(Coffee_sales_clean[[#This Row],[Transaction Date]],"dddd")</f>
        <v>Friday</v>
      </c>
      <c r="C1996" s="12">
        <v>45590</v>
      </c>
      <c r="D1996" s="4">
        <v>0.32318116898148147</v>
      </c>
      <c r="E19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96" t="s">
        <v>6</v>
      </c>
      <c r="G1996" s="2">
        <v>21.06</v>
      </c>
    </row>
    <row r="1997" spans="1:7" x14ac:dyDescent="0.25">
      <c r="A19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241025-MOR003</v>
      </c>
      <c r="B1997" s="1" t="str">
        <f>TEXT(Coffee_sales_clean[[#This Row],[Transaction Date]],"dddd")</f>
        <v>Friday</v>
      </c>
      <c r="C1997" s="12">
        <v>45590</v>
      </c>
      <c r="D1997" s="4">
        <v>0.3403334837962963</v>
      </c>
      <c r="E19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97" t="s">
        <v>4</v>
      </c>
      <c r="G1997" s="2">
        <v>35.76</v>
      </c>
    </row>
    <row r="1998" spans="1:7" x14ac:dyDescent="0.25">
      <c r="A19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241025-MOR004</v>
      </c>
      <c r="B1998" s="1" t="str">
        <f>TEXT(Coffee_sales_clean[[#This Row],[Transaction Date]],"dddd")</f>
        <v>Friday</v>
      </c>
      <c r="C1998" s="12">
        <v>45590</v>
      </c>
      <c r="D1998" s="4">
        <v>0.34090934027777775</v>
      </c>
      <c r="E19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98" t="s">
        <v>0</v>
      </c>
      <c r="G1998" s="2">
        <v>35.76</v>
      </c>
    </row>
    <row r="1999" spans="1:7" x14ac:dyDescent="0.25">
      <c r="A19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241025-MOR005</v>
      </c>
      <c r="B1999" s="1" t="str">
        <f>TEXT(Coffee_sales_clean[[#This Row],[Transaction Date]],"dddd")</f>
        <v>Friday</v>
      </c>
      <c r="C1999" s="12">
        <v>45590</v>
      </c>
      <c r="D1999" s="4">
        <v>0.34640949074074073</v>
      </c>
      <c r="E19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1999" t="s">
        <v>4</v>
      </c>
      <c r="G1999" s="2">
        <v>35.76</v>
      </c>
    </row>
    <row r="2000" spans="1:7" x14ac:dyDescent="0.25">
      <c r="A20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241025-MOR006</v>
      </c>
      <c r="B2000" s="1" t="str">
        <f>TEXT(Coffee_sales_clean[[#This Row],[Transaction Date]],"dddd")</f>
        <v>Friday</v>
      </c>
      <c r="C2000" s="12">
        <v>45590</v>
      </c>
      <c r="D2000" s="4">
        <v>0.41907759259259258</v>
      </c>
      <c r="E20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00" t="s">
        <v>2</v>
      </c>
      <c r="G2000" s="2">
        <v>25.96</v>
      </c>
    </row>
    <row r="2001" spans="1:7" x14ac:dyDescent="0.25">
      <c r="A20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241025-MOR007</v>
      </c>
      <c r="B2001" s="1" t="str">
        <f>TEXT(Coffee_sales_clean[[#This Row],[Transaction Date]],"dddd")</f>
        <v>Friday</v>
      </c>
      <c r="C2001" s="12">
        <v>45590</v>
      </c>
      <c r="D2001" s="4">
        <v>0.42038208333333332</v>
      </c>
      <c r="E20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01" t="s">
        <v>2</v>
      </c>
      <c r="G2001" s="2">
        <v>25.96</v>
      </c>
    </row>
    <row r="2002" spans="1:7" x14ac:dyDescent="0.25">
      <c r="A20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241025-MOR008</v>
      </c>
      <c r="B2002" s="1" t="str">
        <f>TEXT(Coffee_sales_clean[[#This Row],[Transaction Date]],"dddd")</f>
        <v>Friday</v>
      </c>
      <c r="C2002" s="12">
        <v>45590</v>
      </c>
      <c r="D2002" s="4">
        <v>0.4520983564814815</v>
      </c>
      <c r="E20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02" t="s">
        <v>3</v>
      </c>
      <c r="G2002" s="2">
        <v>30.86</v>
      </c>
    </row>
    <row r="2003" spans="1:7" x14ac:dyDescent="0.25">
      <c r="A20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241025-LUN001</v>
      </c>
      <c r="B2003" s="1" t="str">
        <f>TEXT(Coffee_sales_clean[[#This Row],[Transaction Date]],"dddd")</f>
        <v>Friday</v>
      </c>
      <c r="C2003" s="12">
        <v>45590</v>
      </c>
      <c r="D2003" s="4">
        <v>0.49285736111111111</v>
      </c>
      <c r="E20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03" t="s">
        <v>4</v>
      </c>
      <c r="G2003" s="2">
        <v>35.76</v>
      </c>
    </row>
    <row r="2004" spans="1:7" x14ac:dyDescent="0.25">
      <c r="A20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241025-LUN002</v>
      </c>
      <c r="B2004" s="1" t="str">
        <f>TEXT(Coffee_sales_clean[[#This Row],[Transaction Date]],"dddd")</f>
        <v>Friday</v>
      </c>
      <c r="C2004" s="12">
        <v>45590</v>
      </c>
      <c r="D2004" s="4">
        <v>0.49340738425925929</v>
      </c>
      <c r="E20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04" t="s">
        <v>4</v>
      </c>
      <c r="G2004" s="2">
        <v>35.76</v>
      </c>
    </row>
    <row r="2005" spans="1:7" x14ac:dyDescent="0.25">
      <c r="A20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241025-LUN003</v>
      </c>
      <c r="B2005" s="1" t="str">
        <f>TEXT(Coffee_sales_clean[[#This Row],[Transaction Date]],"dddd")</f>
        <v>Friday</v>
      </c>
      <c r="C2005" s="12">
        <v>45590</v>
      </c>
      <c r="D2005" s="4">
        <v>0.50474740740740742</v>
      </c>
      <c r="E20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05" t="s">
        <v>5</v>
      </c>
      <c r="G2005" s="2">
        <v>25.96</v>
      </c>
    </row>
    <row r="2006" spans="1:7" x14ac:dyDescent="0.25">
      <c r="A20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241025-LUN004</v>
      </c>
      <c r="B2006" s="1" t="str">
        <f>TEXT(Coffee_sales_clean[[#This Row],[Transaction Date]],"dddd")</f>
        <v>Friday</v>
      </c>
      <c r="C2006" s="12">
        <v>45590</v>
      </c>
      <c r="D2006" s="4">
        <v>0.52821141203703703</v>
      </c>
      <c r="E20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06" t="s">
        <v>0</v>
      </c>
      <c r="G2006" s="2">
        <v>35.76</v>
      </c>
    </row>
    <row r="2007" spans="1:7" x14ac:dyDescent="0.25">
      <c r="A20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241025-AFT001</v>
      </c>
      <c r="B2007" s="1" t="str">
        <f>TEXT(Coffee_sales_clean[[#This Row],[Transaction Date]],"dddd")</f>
        <v>Friday</v>
      </c>
      <c r="C2007" s="12">
        <v>45590</v>
      </c>
      <c r="D2007" s="4">
        <v>0.59949731481481483</v>
      </c>
      <c r="E20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07" t="s">
        <v>7</v>
      </c>
      <c r="G2007" s="2">
        <v>35.76</v>
      </c>
    </row>
    <row r="2008" spans="1:7" x14ac:dyDescent="0.25">
      <c r="A20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241025-LAT001</v>
      </c>
      <c r="B2008" s="1" t="str">
        <f>TEXT(Coffee_sales_clean[[#This Row],[Transaction Date]],"dddd")</f>
        <v>Friday</v>
      </c>
      <c r="C2008" s="12">
        <v>45590</v>
      </c>
      <c r="D2008" s="4">
        <v>0.93013841435185185</v>
      </c>
      <c r="E20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008" t="s">
        <v>1</v>
      </c>
      <c r="G2008" s="2">
        <v>35.76</v>
      </c>
    </row>
    <row r="2009" spans="1:7" x14ac:dyDescent="0.25">
      <c r="A20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241025-LAT002</v>
      </c>
      <c r="B2009" s="1" t="str">
        <f>TEXT(Coffee_sales_clean[[#This Row],[Transaction Date]],"dddd")</f>
        <v>Friday</v>
      </c>
      <c r="C2009" s="12">
        <v>45590</v>
      </c>
      <c r="D2009" s="4">
        <v>0.93231186342592598</v>
      </c>
      <c r="E20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009" t="s">
        <v>6</v>
      </c>
      <c r="G2009" s="2">
        <v>21.06</v>
      </c>
    </row>
    <row r="2010" spans="1:7" x14ac:dyDescent="0.25">
      <c r="A20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241026-MOR001</v>
      </c>
      <c r="B2010" s="1" t="str">
        <f>TEXT(Coffee_sales_clean[[#This Row],[Transaction Date]],"dddd")</f>
        <v>Saturday</v>
      </c>
      <c r="C2010" s="12">
        <v>45591</v>
      </c>
      <c r="D2010" s="4">
        <v>0.32637993055555553</v>
      </c>
      <c r="E20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10" t="s">
        <v>7</v>
      </c>
      <c r="G2010" s="2">
        <v>35.76</v>
      </c>
    </row>
    <row r="2011" spans="1:7" x14ac:dyDescent="0.25">
      <c r="A20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241026-MOR002</v>
      </c>
      <c r="B2011" s="1" t="str">
        <f>TEXT(Coffee_sales_clean[[#This Row],[Transaction Date]],"dddd")</f>
        <v>Saturday</v>
      </c>
      <c r="C2011" s="12">
        <v>45591</v>
      </c>
      <c r="D2011" s="4">
        <v>0.36232062500000001</v>
      </c>
      <c r="E20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11" t="s">
        <v>5</v>
      </c>
      <c r="G2011" s="2">
        <v>25.96</v>
      </c>
    </row>
    <row r="2012" spans="1:7" x14ac:dyDescent="0.25">
      <c r="A20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241026-MOR003</v>
      </c>
      <c r="B2012" s="1" t="str">
        <f>TEXT(Coffee_sales_clean[[#This Row],[Transaction Date]],"dddd")</f>
        <v>Saturday</v>
      </c>
      <c r="C2012" s="12">
        <v>45591</v>
      </c>
      <c r="D2012" s="4">
        <v>0.37013374999999998</v>
      </c>
      <c r="E20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12" t="s">
        <v>7</v>
      </c>
      <c r="G2012" s="2">
        <v>35.76</v>
      </c>
    </row>
    <row r="2013" spans="1:7" x14ac:dyDescent="0.25">
      <c r="A20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241026-MOR004</v>
      </c>
      <c r="B2013" s="1" t="str">
        <f>TEXT(Coffee_sales_clean[[#This Row],[Transaction Date]],"dddd")</f>
        <v>Saturday</v>
      </c>
      <c r="C2013" s="12">
        <v>45591</v>
      </c>
      <c r="D2013" s="4">
        <v>0.43377663194444444</v>
      </c>
      <c r="E20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13" t="s">
        <v>2</v>
      </c>
      <c r="G2013" s="2">
        <v>25.96</v>
      </c>
    </row>
    <row r="2014" spans="1:7" x14ac:dyDescent="0.25">
      <c r="A20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241026-LUN001</v>
      </c>
      <c r="B2014" s="1" t="str">
        <f>TEXT(Coffee_sales_clean[[#This Row],[Transaction Date]],"dddd")</f>
        <v>Saturday</v>
      </c>
      <c r="C2014" s="12">
        <v>45591</v>
      </c>
      <c r="D2014" s="4">
        <v>0.51260812499999997</v>
      </c>
      <c r="E20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14" t="s">
        <v>4</v>
      </c>
      <c r="G2014" s="2">
        <v>35.76</v>
      </c>
    </row>
    <row r="2015" spans="1:7" x14ac:dyDescent="0.25">
      <c r="A20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241026-LUN002</v>
      </c>
      <c r="B2015" s="1" t="str">
        <f>TEXT(Coffee_sales_clean[[#This Row],[Transaction Date]],"dddd")</f>
        <v>Saturday</v>
      </c>
      <c r="C2015" s="12">
        <v>45591</v>
      </c>
      <c r="D2015" s="4">
        <v>0.5441092476851852</v>
      </c>
      <c r="E20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15" t="s">
        <v>0</v>
      </c>
      <c r="G2015" s="2">
        <v>35.76</v>
      </c>
    </row>
    <row r="2016" spans="1:7" x14ac:dyDescent="0.25">
      <c r="A20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241026-AFT001</v>
      </c>
      <c r="B2016" s="1" t="str">
        <f>TEXT(Coffee_sales_clean[[#This Row],[Transaction Date]],"dddd")</f>
        <v>Saturday</v>
      </c>
      <c r="C2016" s="12">
        <v>45591</v>
      </c>
      <c r="D2016" s="4">
        <v>0.60762331018518523</v>
      </c>
      <c r="E20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16" t="s">
        <v>0</v>
      </c>
      <c r="G2016" s="2">
        <v>35.76</v>
      </c>
    </row>
    <row r="2017" spans="1:7" x14ac:dyDescent="0.25">
      <c r="A20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241026-AFT002</v>
      </c>
      <c r="B2017" s="1" t="str">
        <f>TEXT(Coffee_sales_clean[[#This Row],[Transaction Date]],"dddd")</f>
        <v>Saturday</v>
      </c>
      <c r="C2017" s="12">
        <v>45591</v>
      </c>
      <c r="D2017" s="4">
        <v>0.60850628472222223</v>
      </c>
      <c r="E20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17" t="s">
        <v>3</v>
      </c>
      <c r="G2017" s="2">
        <v>30.86</v>
      </c>
    </row>
    <row r="2018" spans="1:7" x14ac:dyDescent="0.25">
      <c r="A20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241026-AFT003</v>
      </c>
      <c r="B2018" s="1" t="str">
        <f>TEXT(Coffee_sales_clean[[#This Row],[Transaction Date]],"dddd")</f>
        <v>Saturday</v>
      </c>
      <c r="C2018" s="12">
        <v>45591</v>
      </c>
      <c r="D2018" s="4">
        <v>0.62872768518518518</v>
      </c>
      <c r="E20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18" t="s">
        <v>5</v>
      </c>
      <c r="G2018" s="2">
        <v>25.96</v>
      </c>
    </row>
    <row r="2019" spans="1:7" x14ac:dyDescent="0.25">
      <c r="A20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241026-AFT004</v>
      </c>
      <c r="B2019" s="1" t="str">
        <f>TEXT(Coffee_sales_clean[[#This Row],[Transaction Date]],"dddd")</f>
        <v>Saturday</v>
      </c>
      <c r="C2019" s="12">
        <v>45591</v>
      </c>
      <c r="D2019" s="4">
        <v>0.62938743055555557</v>
      </c>
      <c r="E20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19" t="s">
        <v>5</v>
      </c>
      <c r="G2019" s="2">
        <v>25.96</v>
      </c>
    </row>
    <row r="2020" spans="1:7" x14ac:dyDescent="0.25">
      <c r="A20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241026-AFT005</v>
      </c>
      <c r="B2020" s="1" t="str">
        <f>TEXT(Coffee_sales_clean[[#This Row],[Transaction Date]],"dddd")</f>
        <v>Saturday</v>
      </c>
      <c r="C2020" s="12">
        <v>45591</v>
      </c>
      <c r="D2020" s="4">
        <v>0.65172140046296301</v>
      </c>
      <c r="E20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20" t="s">
        <v>0</v>
      </c>
      <c r="G2020" s="2">
        <v>35.76</v>
      </c>
    </row>
    <row r="2021" spans="1:7" x14ac:dyDescent="0.25">
      <c r="A20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241026-AFT006</v>
      </c>
      <c r="B2021" s="1" t="str">
        <f>TEXT(Coffee_sales_clean[[#This Row],[Transaction Date]],"dddd")</f>
        <v>Saturday</v>
      </c>
      <c r="C2021" s="12">
        <v>45591</v>
      </c>
      <c r="D2021" s="4">
        <v>0.65242561342592598</v>
      </c>
      <c r="E20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21" t="s">
        <v>0</v>
      </c>
      <c r="G2021" s="2">
        <v>35.76</v>
      </c>
    </row>
    <row r="2022" spans="1:7" x14ac:dyDescent="0.25">
      <c r="A20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241026-AFT007</v>
      </c>
      <c r="B2022" s="1" t="str">
        <f>TEXT(Coffee_sales_clean[[#This Row],[Transaction Date]],"dddd")</f>
        <v>Saturday</v>
      </c>
      <c r="C2022" s="12">
        <v>45591</v>
      </c>
      <c r="D2022" s="4">
        <v>0.66113032407407413</v>
      </c>
      <c r="E20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22" t="s">
        <v>3</v>
      </c>
      <c r="G2022" s="2">
        <v>30.86</v>
      </c>
    </row>
    <row r="2023" spans="1:7" x14ac:dyDescent="0.25">
      <c r="A20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241026-AFT008</v>
      </c>
      <c r="B2023" s="1" t="str">
        <f>TEXT(Coffee_sales_clean[[#This Row],[Transaction Date]],"dddd")</f>
        <v>Saturday</v>
      </c>
      <c r="C2023" s="12">
        <v>45591</v>
      </c>
      <c r="D2023" s="4">
        <v>0.66205446759259257</v>
      </c>
      <c r="E20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23" t="s">
        <v>3</v>
      </c>
      <c r="G2023" s="2">
        <v>30.86</v>
      </c>
    </row>
    <row r="2024" spans="1:7" x14ac:dyDescent="0.25">
      <c r="A20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241026-EVE001</v>
      </c>
      <c r="B2024" s="1" t="str">
        <f>TEXT(Coffee_sales_clean[[#This Row],[Transaction Date]],"dddd")</f>
        <v>Saturday</v>
      </c>
      <c r="C2024" s="12">
        <v>45591</v>
      </c>
      <c r="D2024" s="4">
        <v>0.80510769675925931</v>
      </c>
      <c r="E20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24" t="s">
        <v>7</v>
      </c>
      <c r="G2024" s="2">
        <v>35.76</v>
      </c>
    </row>
    <row r="2025" spans="1:7" x14ac:dyDescent="0.25">
      <c r="A20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241026-LAT001</v>
      </c>
      <c r="B2025" s="1" t="str">
        <f>TEXT(Coffee_sales_clean[[#This Row],[Transaction Date]],"dddd")</f>
        <v>Saturday</v>
      </c>
      <c r="C2025" s="12">
        <v>45591</v>
      </c>
      <c r="D2025" s="4">
        <v>0.85748516203703706</v>
      </c>
      <c r="E20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025" t="s">
        <v>3</v>
      </c>
      <c r="G2025" s="2">
        <v>30.86</v>
      </c>
    </row>
    <row r="2026" spans="1:7" x14ac:dyDescent="0.25">
      <c r="A20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241027-LUN001</v>
      </c>
      <c r="B2026" s="1" t="str">
        <f>TEXT(Coffee_sales_clean[[#This Row],[Transaction Date]],"dddd")</f>
        <v>Sunday</v>
      </c>
      <c r="C2026" s="12">
        <v>45592</v>
      </c>
      <c r="D2026" s="4">
        <v>0.45968636574074073</v>
      </c>
      <c r="E20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26" t="s">
        <v>3</v>
      </c>
      <c r="G2026" s="2">
        <v>30.86</v>
      </c>
    </row>
    <row r="2027" spans="1:7" x14ac:dyDescent="0.25">
      <c r="A20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241027-LUN002</v>
      </c>
      <c r="B2027" s="1" t="str">
        <f>TEXT(Coffee_sales_clean[[#This Row],[Transaction Date]],"dddd")</f>
        <v>Sunday</v>
      </c>
      <c r="C2027" s="12">
        <v>45592</v>
      </c>
      <c r="D2027" s="4">
        <v>0.53710635416666663</v>
      </c>
      <c r="E20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27" t="s">
        <v>0</v>
      </c>
      <c r="G2027" s="2">
        <v>35.76</v>
      </c>
    </row>
    <row r="2028" spans="1:7" x14ac:dyDescent="0.25">
      <c r="A20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241027-LUN003</v>
      </c>
      <c r="B2028" s="1" t="str">
        <f>TEXT(Coffee_sales_clean[[#This Row],[Transaction Date]],"dddd")</f>
        <v>Sunday</v>
      </c>
      <c r="C2028" s="12">
        <v>45592</v>
      </c>
      <c r="D2028" s="4">
        <v>0.53781841435185185</v>
      </c>
      <c r="E20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28" t="s">
        <v>3</v>
      </c>
      <c r="G2028" s="2">
        <v>30.86</v>
      </c>
    </row>
    <row r="2029" spans="1:7" x14ac:dyDescent="0.25">
      <c r="A20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241027-LUN004</v>
      </c>
      <c r="B2029" s="1" t="str">
        <f>TEXT(Coffee_sales_clean[[#This Row],[Transaction Date]],"dddd")</f>
        <v>Sunday</v>
      </c>
      <c r="C2029" s="12">
        <v>45592</v>
      </c>
      <c r="D2029" s="4">
        <v>0.57206723379629631</v>
      </c>
      <c r="E20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29" t="s">
        <v>7</v>
      </c>
      <c r="G2029" s="2">
        <v>35.76</v>
      </c>
    </row>
    <row r="2030" spans="1:7" x14ac:dyDescent="0.25">
      <c r="A20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241027-AFT001</v>
      </c>
      <c r="B2030" s="1" t="str">
        <f>TEXT(Coffee_sales_clean[[#This Row],[Transaction Date]],"dddd")</f>
        <v>Sunday</v>
      </c>
      <c r="C2030" s="12">
        <v>45592</v>
      </c>
      <c r="D2030" s="4">
        <v>0.67854369212962962</v>
      </c>
      <c r="E20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30" t="s">
        <v>0</v>
      </c>
      <c r="G2030" s="2">
        <v>35.76</v>
      </c>
    </row>
    <row r="2031" spans="1:7" x14ac:dyDescent="0.25">
      <c r="A20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241028-MOR001</v>
      </c>
      <c r="B2031" s="1" t="str">
        <f>TEXT(Coffee_sales_clean[[#This Row],[Transaction Date]],"dddd")</f>
        <v>Monday</v>
      </c>
      <c r="C2031" s="12">
        <v>45593</v>
      </c>
      <c r="D2031" s="4">
        <v>0.32393734953703701</v>
      </c>
      <c r="E20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31" t="s">
        <v>7</v>
      </c>
      <c r="G2031" s="2">
        <v>35.76</v>
      </c>
    </row>
    <row r="2032" spans="1:7" x14ac:dyDescent="0.25">
      <c r="A20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241028-MOR002</v>
      </c>
      <c r="B2032" s="1" t="str">
        <f>TEXT(Coffee_sales_clean[[#This Row],[Transaction Date]],"dddd")</f>
        <v>Monday</v>
      </c>
      <c r="C2032" s="12">
        <v>45593</v>
      </c>
      <c r="D2032" s="4">
        <v>0.33417012731481482</v>
      </c>
      <c r="E20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32" t="s">
        <v>2</v>
      </c>
      <c r="G2032" s="2">
        <v>25.96</v>
      </c>
    </row>
    <row r="2033" spans="1:7" x14ac:dyDescent="0.25">
      <c r="A20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241028-MOR003</v>
      </c>
      <c r="B2033" s="1" t="str">
        <f>TEXT(Coffee_sales_clean[[#This Row],[Transaction Date]],"dddd")</f>
        <v>Monday</v>
      </c>
      <c r="C2033" s="12">
        <v>45593</v>
      </c>
      <c r="D2033" s="4">
        <v>0.3576724652777778</v>
      </c>
      <c r="E20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33" t="s">
        <v>0</v>
      </c>
      <c r="G2033" s="2">
        <v>35.76</v>
      </c>
    </row>
    <row r="2034" spans="1:7" x14ac:dyDescent="0.25">
      <c r="A20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241028-MOR004</v>
      </c>
      <c r="B2034" s="1" t="str">
        <f>TEXT(Coffee_sales_clean[[#This Row],[Transaction Date]],"dddd")</f>
        <v>Monday</v>
      </c>
      <c r="C2034" s="12">
        <v>45593</v>
      </c>
      <c r="D2034" s="4">
        <v>0.38591181712962963</v>
      </c>
      <c r="E20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34" t="s">
        <v>3</v>
      </c>
      <c r="G2034" s="2">
        <v>30.86</v>
      </c>
    </row>
    <row r="2035" spans="1:7" x14ac:dyDescent="0.25">
      <c r="A20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241028-LUN001</v>
      </c>
      <c r="B2035" s="1" t="str">
        <f>TEXT(Coffee_sales_clean[[#This Row],[Transaction Date]],"dddd")</f>
        <v>Monday</v>
      </c>
      <c r="C2035" s="12">
        <v>45593</v>
      </c>
      <c r="D2035" s="4">
        <v>0.48792239583333336</v>
      </c>
      <c r="E20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35" t="s">
        <v>0</v>
      </c>
      <c r="G2035" s="2">
        <v>35.76</v>
      </c>
    </row>
    <row r="2036" spans="1:7" x14ac:dyDescent="0.25">
      <c r="A20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241028-LUN002</v>
      </c>
      <c r="B2036" s="1" t="str">
        <f>TEXT(Coffee_sales_clean[[#This Row],[Transaction Date]],"dddd")</f>
        <v>Monday</v>
      </c>
      <c r="C2036" s="12">
        <v>45593</v>
      </c>
      <c r="D2036" s="4">
        <v>0.48869585648148151</v>
      </c>
      <c r="E20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36" t="s">
        <v>0</v>
      </c>
      <c r="G2036" s="2">
        <v>35.76</v>
      </c>
    </row>
    <row r="2037" spans="1:7" x14ac:dyDescent="0.25">
      <c r="A20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241028-LUN003</v>
      </c>
      <c r="B2037" s="1" t="str">
        <f>TEXT(Coffee_sales_clean[[#This Row],[Transaction Date]],"dddd")</f>
        <v>Monday</v>
      </c>
      <c r="C2037" s="12">
        <v>45593</v>
      </c>
      <c r="D2037" s="4">
        <v>0.50111173611111115</v>
      </c>
      <c r="E20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37" t="s">
        <v>1</v>
      </c>
      <c r="G2037" s="2">
        <v>35.76</v>
      </c>
    </row>
    <row r="2038" spans="1:7" x14ac:dyDescent="0.25">
      <c r="A20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241028-LUN004</v>
      </c>
      <c r="B2038" s="1" t="str">
        <f>TEXT(Coffee_sales_clean[[#This Row],[Transaction Date]],"dddd")</f>
        <v>Monday</v>
      </c>
      <c r="C2038" s="12">
        <v>45593</v>
      </c>
      <c r="D2038" s="4">
        <v>0.5017917476851852</v>
      </c>
      <c r="E20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38" t="s">
        <v>3</v>
      </c>
      <c r="G2038" s="2">
        <v>30.86</v>
      </c>
    </row>
    <row r="2039" spans="1:7" x14ac:dyDescent="0.25">
      <c r="A20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241028-LUN005</v>
      </c>
      <c r="B2039" s="1" t="str">
        <f>TEXT(Coffee_sales_clean[[#This Row],[Transaction Date]],"dddd")</f>
        <v>Monday</v>
      </c>
      <c r="C2039" s="12">
        <v>45593</v>
      </c>
      <c r="D2039" s="4">
        <v>0.51493539351851847</v>
      </c>
      <c r="E20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39" t="s">
        <v>7</v>
      </c>
      <c r="G2039" s="2">
        <v>35.76</v>
      </c>
    </row>
    <row r="2040" spans="1:7" x14ac:dyDescent="0.25">
      <c r="A20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241028-AFT001</v>
      </c>
      <c r="B2040" s="1" t="str">
        <f>TEXT(Coffee_sales_clean[[#This Row],[Transaction Date]],"dddd")</f>
        <v>Monday</v>
      </c>
      <c r="C2040" s="12">
        <v>45593</v>
      </c>
      <c r="D2040" s="4">
        <v>0.59090984953703707</v>
      </c>
      <c r="E20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40" t="s">
        <v>3</v>
      </c>
      <c r="G2040" s="2">
        <v>30.86</v>
      </c>
    </row>
    <row r="2041" spans="1:7" x14ac:dyDescent="0.25">
      <c r="A20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241028-AFT002</v>
      </c>
      <c r="B2041" s="1" t="str">
        <f>TEXT(Coffee_sales_clean[[#This Row],[Transaction Date]],"dddd")</f>
        <v>Monday</v>
      </c>
      <c r="C2041" s="12">
        <v>45593</v>
      </c>
      <c r="D2041" s="4">
        <v>0.59162402777777778</v>
      </c>
      <c r="E20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41" t="s">
        <v>3</v>
      </c>
      <c r="G2041" s="2">
        <v>30.86</v>
      </c>
    </row>
    <row r="2042" spans="1:7" x14ac:dyDescent="0.25">
      <c r="A20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241028-AFT003</v>
      </c>
      <c r="B2042" s="1" t="str">
        <f>TEXT(Coffee_sales_clean[[#This Row],[Transaction Date]],"dddd")</f>
        <v>Monday</v>
      </c>
      <c r="C2042" s="12">
        <v>45593</v>
      </c>
      <c r="D2042" s="4">
        <v>0.60485603009259259</v>
      </c>
      <c r="E20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42" t="s">
        <v>3</v>
      </c>
      <c r="G2042" s="2">
        <v>30.86</v>
      </c>
    </row>
    <row r="2043" spans="1:7" x14ac:dyDescent="0.25">
      <c r="A20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241028-AFT004</v>
      </c>
      <c r="B2043" s="1" t="str">
        <f>TEXT(Coffee_sales_clean[[#This Row],[Transaction Date]],"dddd")</f>
        <v>Monday</v>
      </c>
      <c r="C2043" s="12">
        <v>45593</v>
      </c>
      <c r="D2043" s="4">
        <v>0.6675984606481481</v>
      </c>
      <c r="E20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43" t="s">
        <v>0</v>
      </c>
      <c r="G2043" s="2">
        <v>35.76</v>
      </c>
    </row>
    <row r="2044" spans="1:7" x14ac:dyDescent="0.25">
      <c r="A20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241028-EVE001</v>
      </c>
      <c r="B2044" s="1" t="str">
        <f>TEXT(Coffee_sales_clean[[#This Row],[Transaction Date]],"dddd")</f>
        <v>Monday</v>
      </c>
      <c r="C2044" s="12">
        <v>45593</v>
      </c>
      <c r="D2044" s="4">
        <v>0.74673748842592591</v>
      </c>
      <c r="E20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44" t="s">
        <v>4</v>
      </c>
      <c r="G2044" s="2">
        <v>35.76</v>
      </c>
    </row>
    <row r="2045" spans="1:7" x14ac:dyDescent="0.25">
      <c r="A20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241028-EVE002</v>
      </c>
      <c r="B2045" s="1" t="str">
        <f>TEXT(Coffee_sales_clean[[#This Row],[Transaction Date]],"dddd")</f>
        <v>Monday</v>
      </c>
      <c r="C2045" s="12">
        <v>45593</v>
      </c>
      <c r="D2045" s="4">
        <v>0.74724996527777776</v>
      </c>
      <c r="E20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45" t="s">
        <v>4</v>
      </c>
      <c r="G2045" s="2">
        <v>35.76</v>
      </c>
    </row>
    <row r="2046" spans="1:7" x14ac:dyDescent="0.25">
      <c r="A20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241028-EVE003</v>
      </c>
      <c r="B2046" s="1" t="str">
        <f>TEXT(Coffee_sales_clean[[#This Row],[Transaction Date]],"dddd")</f>
        <v>Monday</v>
      </c>
      <c r="C2046" s="12">
        <v>45593</v>
      </c>
      <c r="D2046" s="4">
        <v>0.79890341435185186</v>
      </c>
      <c r="E20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46" t="s">
        <v>7</v>
      </c>
      <c r="G2046" s="2">
        <v>35.76</v>
      </c>
    </row>
    <row r="2047" spans="1:7" x14ac:dyDescent="0.25">
      <c r="A20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241028-LAT001</v>
      </c>
      <c r="B2047" s="1" t="str">
        <f>TEXT(Coffee_sales_clean[[#This Row],[Transaction Date]],"dddd")</f>
        <v>Monday</v>
      </c>
      <c r="C2047" s="12">
        <v>45593</v>
      </c>
      <c r="D2047" s="4">
        <v>0.88893081018518516</v>
      </c>
      <c r="E20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047" t="s">
        <v>3</v>
      </c>
      <c r="G2047" s="2">
        <v>30.86</v>
      </c>
    </row>
    <row r="2048" spans="1:7" x14ac:dyDescent="0.25">
      <c r="A20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241028-LAT002</v>
      </c>
      <c r="B2048" s="1" t="str">
        <f>TEXT(Coffee_sales_clean[[#This Row],[Transaction Date]],"dddd")</f>
        <v>Monday</v>
      </c>
      <c r="C2048" s="12">
        <v>45593</v>
      </c>
      <c r="D2048" s="4">
        <v>0.92072652777777775</v>
      </c>
      <c r="E20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048" t="s">
        <v>3</v>
      </c>
      <c r="G2048" s="2">
        <v>30.86</v>
      </c>
    </row>
    <row r="2049" spans="1:7" x14ac:dyDescent="0.25">
      <c r="A20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241029-MOR001</v>
      </c>
      <c r="B2049" s="1" t="str">
        <f>TEXT(Coffee_sales_clean[[#This Row],[Transaction Date]],"dddd")</f>
        <v>Tuesday</v>
      </c>
      <c r="C2049" s="12">
        <v>45594</v>
      </c>
      <c r="D2049" s="4">
        <v>0.36171707175925927</v>
      </c>
      <c r="E20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49" t="s">
        <v>0</v>
      </c>
      <c r="G2049" s="2">
        <v>35.76</v>
      </c>
    </row>
    <row r="2050" spans="1:7" x14ac:dyDescent="0.25">
      <c r="A20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241029-MOR002</v>
      </c>
      <c r="B2050" s="1" t="str">
        <f>TEXT(Coffee_sales_clean[[#This Row],[Transaction Date]],"dddd")</f>
        <v>Tuesday</v>
      </c>
      <c r="C2050" s="12">
        <v>45594</v>
      </c>
      <c r="D2050" s="4">
        <v>0.36603756944444443</v>
      </c>
      <c r="E20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50" t="s">
        <v>0</v>
      </c>
      <c r="G2050" s="2">
        <v>35.76</v>
      </c>
    </row>
    <row r="2051" spans="1:7" x14ac:dyDescent="0.25">
      <c r="A20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241029-MOR003</v>
      </c>
      <c r="B2051" s="1" t="str">
        <f>TEXT(Coffee_sales_clean[[#This Row],[Transaction Date]],"dddd")</f>
        <v>Tuesday</v>
      </c>
      <c r="C2051" s="12">
        <v>45594</v>
      </c>
      <c r="D2051" s="4">
        <v>0.39719537037037039</v>
      </c>
      <c r="E20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51" t="s">
        <v>0</v>
      </c>
      <c r="G2051" s="2">
        <v>35.76</v>
      </c>
    </row>
    <row r="2052" spans="1:7" x14ac:dyDescent="0.25">
      <c r="A20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241029-LUN001</v>
      </c>
      <c r="B2052" s="1" t="str">
        <f>TEXT(Coffee_sales_clean[[#This Row],[Transaction Date]],"dddd")</f>
        <v>Tuesday</v>
      </c>
      <c r="C2052" s="12">
        <v>45594</v>
      </c>
      <c r="D2052" s="4">
        <v>0.49984583333333332</v>
      </c>
      <c r="E20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52" t="s">
        <v>3</v>
      </c>
      <c r="G2052" s="2">
        <v>30.86</v>
      </c>
    </row>
    <row r="2053" spans="1:7" x14ac:dyDescent="0.25">
      <c r="A20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241029-LUN002</v>
      </c>
      <c r="B2053" s="1" t="str">
        <f>TEXT(Coffee_sales_clean[[#This Row],[Transaction Date]],"dddd")</f>
        <v>Tuesday</v>
      </c>
      <c r="C2053" s="12">
        <v>45594</v>
      </c>
      <c r="D2053" s="4">
        <v>0.51500932870370375</v>
      </c>
      <c r="E20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53" t="s">
        <v>6</v>
      </c>
      <c r="G2053" s="2">
        <v>21.06</v>
      </c>
    </row>
    <row r="2054" spans="1:7" x14ac:dyDescent="0.25">
      <c r="A20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241029-AFT001</v>
      </c>
      <c r="B2054" s="1" t="str">
        <f>TEXT(Coffee_sales_clean[[#This Row],[Transaction Date]],"dddd")</f>
        <v>Tuesday</v>
      </c>
      <c r="C2054" s="12">
        <v>45594</v>
      </c>
      <c r="D2054" s="4">
        <v>0.59425738425925922</v>
      </c>
      <c r="E20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54" t="s">
        <v>5</v>
      </c>
      <c r="G2054" s="2">
        <v>25.96</v>
      </c>
    </row>
    <row r="2055" spans="1:7" x14ac:dyDescent="0.25">
      <c r="A20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241029-AFT002</v>
      </c>
      <c r="B2055" s="1" t="str">
        <f>TEXT(Coffee_sales_clean[[#This Row],[Transaction Date]],"dddd")</f>
        <v>Tuesday</v>
      </c>
      <c r="C2055" s="12">
        <v>45594</v>
      </c>
      <c r="D2055" s="4">
        <v>0.59514695601851852</v>
      </c>
      <c r="E20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55" t="s">
        <v>5</v>
      </c>
      <c r="G2055" s="2">
        <v>25.96</v>
      </c>
    </row>
    <row r="2056" spans="1:7" x14ac:dyDescent="0.25">
      <c r="A20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241029-AFT003</v>
      </c>
      <c r="B2056" s="1" t="str">
        <f>TEXT(Coffee_sales_clean[[#This Row],[Transaction Date]],"dddd")</f>
        <v>Tuesday</v>
      </c>
      <c r="C2056" s="12">
        <v>45594</v>
      </c>
      <c r="D2056" s="4">
        <v>0.60944399305555552</v>
      </c>
      <c r="E20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56" t="s">
        <v>7</v>
      </c>
      <c r="G2056" s="2">
        <v>35.76</v>
      </c>
    </row>
    <row r="2057" spans="1:7" x14ac:dyDescent="0.25">
      <c r="A20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241029-AFT004</v>
      </c>
      <c r="B2057" s="1" t="str">
        <f>TEXT(Coffee_sales_clean[[#This Row],[Transaction Date]],"dddd")</f>
        <v>Tuesday</v>
      </c>
      <c r="C2057" s="12">
        <v>45594</v>
      </c>
      <c r="D2057" s="4">
        <v>0.6733071990740741</v>
      </c>
      <c r="E20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57" t="s">
        <v>1</v>
      </c>
      <c r="G2057" s="2">
        <v>35.76</v>
      </c>
    </row>
    <row r="2058" spans="1:7" x14ac:dyDescent="0.25">
      <c r="A20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241029-AFT005</v>
      </c>
      <c r="B2058" s="1" t="str">
        <f>TEXT(Coffee_sales_clean[[#This Row],[Transaction Date]],"dddd")</f>
        <v>Tuesday</v>
      </c>
      <c r="C2058" s="12">
        <v>45594</v>
      </c>
      <c r="D2058" s="4">
        <v>0.67426869212962959</v>
      </c>
      <c r="E20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58" t="s">
        <v>4</v>
      </c>
      <c r="G2058" s="2">
        <v>35.76</v>
      </c>
    </row>
    <row r="2059" spans="1:7" x14ac:dyDescent="0.25">
      <c r="A20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241029-AFT006</v>
      </c>
      <c r="B2059" s="1" t="str">
        <f>TEXT(Coffee_sales_clean[[#This Row],[Transaction Date]],"dddd")</f>
        <v>Tuesday</v>
      </c>
      <c r="C2059" s="12">
        <v>45594</v>
      </c>
      <c r="D2059" s="4">
        <v>0.67885929398148148</v>
      </c>
      <c r="E20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59" t="s">
        <v>4</v>
      </c>
      <c r="G2059" s="2">
        <v>35.76</v>
      </c>
    </row>
    <row r="2060" spans="1:7" x14ac:dyDescent="0.25">
      <c r="A20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241029-EVE001</v>
      </c>
      <c r="B2060" s="1" t="str">
        <f>TEXT(Coffee_sales_clean[[#This Row],[Transaction Date]],"dddd")</f>
        <v>Tuesday</v>
      </c>
      <c r="C2060" s="12">
        <v>45594</v>
      </c>
      <c r="D2060" s="4">
        <v>0.75143944444444444</v>
      </c>
      <c r="E20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60" t="s">
        <v>3</v>
      </c>
      <c r="G2060" s="2">
        <v>30.86</v>
      </c>
    </row>
    <row r="2061" spans="1:7" x14ac:dyDescent="0.25">
      <c r="A20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241029-EVE002</v>
      </c>
      <c r="B2061" s="1" t="str">
        <f>TEXT(Coffee_sales_clean[[#This Row],[Transaction Date]],"dddd")</f>
        <v>Tuesday</v>
      </c>
      <c r="C2061" s="12">
        <v>45594</v>
      </c>
      <c r="D2061" s="4">
        <v>0.75205361111111113</v>
      </c>
      <c r="E20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61" t="s">
        <v>3</v>
      </c>
      <c r="G2061" s="2">
        <v>30.86</v>
      </c>
    </row>
    <row r="2062" spans="1:7" x14ac:dyDescent="0.25">
      <c r="A20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241029-EVE003</v>
      </c>
      <c r="B2062" s="1" t="str">
        <f>TEXT(Coffee_sales_clean[[#This Row],[Transaction Date]],"dddd")</f>
        <v>Tuesday</v>
      </c>
      <c r="C2062" s="12">
        <v>45594</v>
      </c>
      <c r="D2062" s="4">
        <v>0.79311761574074069</v>
      </c>
      <c r="E20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62" t="s">
        <v>3</v>
      </c>
      <c r="G2062" s="2">
        <v>30.86</v>
      </c>
    </row>
    <row r="2063" spans="1:7" x14ac:dyDescent="0.25">
      <c r="A20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241029-EVE004</v>
      </c>
      <c r="B2063" s="1" t="str">
        <f>TEXT(Coffee_sales_clean[[#This Row],[Transaction Date]],"dddd")</f>
        <v>Tuesday</v>
      </c>
      <c r="C2063" s="12">
        <v>45594</v>
      </c>
      <c r="D2063" s="4">
        <v>0.79565319444444449</v>
      </c>
      <c r="E20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63" t="s">
        <v>7</v>
      </c>
      <c r="G2063" s="2">
        <v>35.76</v>
      </c>
    </row>
    <row r="2064" spans="1:7" x14ac:dyDescent="0.25">
      <c r="A20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241029-EVE005</v>
      </c>
      <c r="B2064" s="1" t="str">
        <f>TEXT(Coffee_sales_clean[[#This Row],[Transaction Date]],"dddd")</f>
        <v>Tuesday</v>
      </c>
      <c r="C2064" s="12">
        <v>45594</v>
      </c>
      <c r="D2064" s="4">
        <v>0.82723293981481483</v>
      </c>
      <c r="E20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64" t="s">
        <v>1</v>
      </c>
      <c r="G2064" s="2">
        <v>35.76</v>
      </c>
    </row>
    <row r="2065" spans="1:7" x14ac:dyDescent="0.25">
      <c r="A20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241029-EVE006</v>
      </c>
      <c r="B2065" s="1" t="str">
        <f>TEXT(Coffee_sales_clean[[#This Row],[Transaction Date]],"dddd")</f>
        <v>Tuesday</v>
      </c>
      <c r="C2065" s="12">
        <v>45594</v>
      </c>
      <c r="D2065" s="4">
        <v>0.82919431712962965</v>
      </c>
      <c r="E20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65" t="s">
        <v>0</v>
      </c>
      <c r="G2065" s="2">
        <v>35.76</v>
      </c>
    </row>
    <row r="2066" spans="1:7" x14ac:dyDescent="0.25">
      <c r="A20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241029-LAT001</v>
      </c>
      <c r="B2066" s="1" t="str">
        <f>TEXT(Coffee_sales_clean[[#This Row],[Transaction Date]],"dddd")</f>
        <v>Tuesday</v>
      </c>
      <c r="C2066" s="12">
        <v>45594</v>
      </c>
      <c r="D2066" s="4">
        <v>0.8386071643518519</v>
      </c>
      <c r="E20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066" t="s">
        <v>0</v>
      </c>
      <c r="G2066" s="2">
        <v>35.76</v>
      </c>
    </row>
    <row r="2067" spans="1:7" x14ac:dyDescent="0.25">
      <c r="A20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241030-MOR001</v>
      </c>
      <c r="B2067" s="1" t="str">
        <f>TEXT(Coffee_sales_clean[[#This Row],[Transaction Date]],"dddd")</f>
        <v>Wednesday</v>
      </c>
      <c r="C2067" s="12">
        <v>45595</v>
      </c>
      <c r="D2067" s="4">
        <v>0.32784130787037036</v>
      </c>
      <c r="E20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67" t="s">
        <v>0</v>
      </c>
      <c r="G2067" s="2">
        <v>35.76</v>
      </c>
    </row>
    <row r="2068" spans="1:7" x14ac:dyDescent="0.25">
      <c r="A20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241030-MOR002</v>
      </c>
      <c r="B2068" s="1" t="str">
        <f>TEXT(Coffee_sales_clean[[#This Row],[Transaction Date]],"dddd")</f>
        <v>Wednesday</v>
      </c>
      <c r="C2068" s="12">
        <v>45595</v>
      </c>
      <c r="D2068" s="4">
        <v>0.36558769675925928</v>
      </c>
      <c r="E20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68" t="s">
        <v>3</v>
      </c>
      <c r="G2068" s="2">
        <v>30.86</v>
      </c>
    </row>
    <row r="2069" spans="1:7" x14ac:dyDescent="0.25">
      <c r="A20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241030-MOR003</v>
      </c>
      <c r="B2069" s="1" t="str">
        <f>TEXT(Coffee_sales_clean[[#This Row],[Transaction Date]],"dddd")</f>
        <v>Wednesday</v>
      </c>
      <c r="C2069" s="12">
        <v>45595</v>
      </c>
      <c r="D2069" s="4">
        <v>0.36631112268518518</v>
      </c>
      <c r="E20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69" t="s">
        <v>3</v>
      </c>
      <c r="G2069" s="2">
        <v>30.86</v>
      </c>
    </row>
    <row r="2070" spans="1:7" x14ac:dyDescent="0.25">
      <c r="A20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241030-MOR004</v>
      </c>
      <c r="B2070" s="1" t="str">
        <f>TEXT(Coffee_sales_clean[[#This Row],[Transaction Date]],"dddd")</f>
        <v>Wednesday</v>
      </c>
      <c r="C2070" s="12">
        <v>45595</v>
      </c>
      <c r="D2070" s="4">
        <v>0.38297869212962965</v>
      </c>
      <c r="E20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70" t="s">
        <v>0</v>
      </c>
      <c r="G2070" s="2">
        <v>35.76</v>
      </c>
    </row>
    <row r="2071" spans="1:7" x14ac:dyDescent="0.25">
      <c r="A20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241030-MOR005</v>
      </c>
      <c r="B2071" s="1" t="str">
        <f>TEXT(Coffee_sales_clean[[#This Row],[Transaction Date]],"dddd")</f>
        <v>Wednesday</v>
      </c>
      <c r="C2071" s="12">
        <v>45595</v>
      </c>
      <c r="D2071" s="4">
        <v>0.43880961805555557</v>
      </c>
      <c r="E20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71" t="s">
        <v>0</v>
      </c>
      <c r="G2071" s="2">
        <v>35.76</v>
      </c>
    </row>
    <row r="2072" spans="1:7" x14ac:dyDescent="0.25">
      <c r="A20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241030-MOR006</v>
      </c>
      <c r="B2072" s="1" t="str">
        <f>TEXT(Coffee_sales_clean[[#This Row],[Transaction Date]],"dddd")</f>
        <v>Wednesday</v>
      </c>
      <c r="C2072" s="12">
        <v>45595</v>
      </c>
      <c r="D2072" s="4">
        <v>0.43967244212962964</v>
      </c>
      <c r="E20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72" t="s">
        <v>0</v>
      </c>
      <c r="G2072" s="2">
        <v>35.76</v>
      </c>
    </row>
    <row r="2073" spans="1:7" x14ac:dyDescent="0.25">
      <c r="A20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241030-LUN001</v>
      </c>
      <c r="B2073" s="1" t="str">
        <f>TEXT(Coffee_sales_clean[[#This Row],[Transaction Date]],"dddd")</f>
        <v>Wednesday</v>
      </c>
      <c r="C2073" s="12">
        <v>45595</v>
      </c>
      <c r="D2073" s="4">
        <v>0.50608718750000004</v>
      </c>
      <c r="E20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73" t="s">
        <v>0</v>
      </c>
      <c r="G2073" s="2">
        <v>35.76</v>
      </c>
    </row>
    <row r="2074" spans="1:7" x14ac:dyDescent="0.25">
      <c r="A20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241030-LUN002</v>
      </c>
      <c r="B2074" s="1" t="str">
        <f>TEXT(Coffee_sales_clean[[#This Row],[Transaction Date]],"dddd")</f>
        <v>Wednesday</v>
      </c>
      <c r="C2074" s="12">
        <v>45595</v>
      </c>
      <c r="D2074" s="4">
        <v>0.50679153935185184</v>
      </c>
      <c r="E20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74" t="s">
        <v>2</v>
      </c>
      <c r="G2074" s="2">
        <v>25.96</v>
      </c>
    </row>
    <row r="2075" spans="1:7" x14ac:dyDescent="0.25">
      <c r="A20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241030-LUN003</v>
      </c>
      <c r="B2075" s="1" t="str">
        <f>TEXT(Coffee_sales_clean[[#This Row],[Transaction Date]],"dddd")</f>
        <v>Wednesday</v>
      </c>
      <c r="C2075" s="12">
        <v>45595</v>
      </c>
      <c r="D2075" s="4">
        <v>0.50762026620370371</v>
      </c>
      <c r="E20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75" t="s">
        <v>3</v>
      </c>
      <c r="G2075" s="2">
        <v>30.86</v>
      </c>
    </row>
    <row r="2076" spans="1:7" x14ac:dyDescent="0.25">
      <c r="A20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241030-LUN004</v>
      </c>
      <c r="B2076" s="1" t="str">
        <f>TEXT(Coffee_sales_clean[[#This Row],[Transaction Date]],"dddd")</f>
        <v>Wednesday</v>
      </c>
      <c r="C2076" s="12">
        <v>45595</v>
      </c>
      <c r="D2076" s="4">
        <v>0.52570329861111109</v>
      </c>
      <c r="E20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76" t="s">
        <v>2</v>
      </c>
      <c r="G2076" s="2">
        <v>25.96</v>
      </c>
    </row>
    <row r="2077" spans="1:7" x14ac:dyDescent="0.25">
      <c r="A20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241030-AFT001</v>
      </c>
      <c r="B2077" s="1" t="str">
        <f>TEXT(Coffee_sales_clean[[#This Row],[Transaction Date]],"dddd")</f>
        <v>Wednesday</v>
      </c>
      <c r="C2077" s="12">
        <v>45595</v>
      </c>
      <c r="D2077" s="4">
        <v>0.62864806712962962</v>
      </c>
      <c r="E20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77" t="s">
        <v>0</v>
      </c>
      <c r="G2077" s="2">
        <v>35.76</v>
      </c>
    </row>
    <row r="2078" spans="1:7" x14ac:dyDescent="0.25">
      <c r="A20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241030-AFT002</v>
      </c>
      <c r="B2078" s="1" t="str">
        <f>TEXT(Coffee_sales_clean[[#This Row],[Transaction Date]],"dddd")</f>
        <v>Wednesday</v>
      </c>
      <c r="C2078" s="12">
        <v>45595</v>
      </c>
      <c r="D2078" s="4">
        <v>0.6298963310185185</v>
      </c>
      <c r="E20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78" t="s">
        <v>0</v>
      </c>
      <c r="G2078" s="2">
        <v>35.76</v>
      </c>
    </row>
    <row r="2079" spans="1:7" x14ac:dyDescent="0.25">
      <c r="A20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241030-AFT003</v>
      </c>
      <c r="B2079" s="1" t="str">
        <f>TEXT(Coffee_sales_clean[[#This Row],[Transaction Date]],"dddd")</f>
        <v>Wednesday</v>
      </c>
      <c r="C2079" s="12">
        <v>45595</v>
      </c>
      <c r="D2079" s="4">
        <v>0.67000434027777778</v>
      </c>
      <c r="E20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79" t="s">
        <v>3</v>
      </c>
      <c r="G2079" s="2">
        <v>30.86</v>
      </c>
    </row>
    <row r="2080" spans="1:7" x14ac:dyDescent="0.25">
      <c r="A20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241030-EVE001</v>
      </c>
      <c r="B2080" s="1" t="str">
        <f>TEXT(Coffee_sales_clean[[#This Row],[Transaction Date]],"dddd")</f>
        <v>Wednesday</v>
      </c>
      <c r="C2080" s="12">
        <v>45595</v>
      </c>
      <c r="D2080" s="4">
        <v>0.75570015046296302</v>
      </c>
      <c r="E20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80" t="s">
        <v>1</v>
      </c>
      <c r="G2080" s="2">
        <v>35.76</v>
      </c>
    </row>
    <row r="2081" spans="1:7" x14ac:dyDescent="0.25">
      <c r="A20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241030-EVE002</v>
      </c>
      <c r="B2081" s="1" t="str">
        <f>TEXT(Coffee_sales_clean[[#This Row],[Transaction Date]],"dddd")</f>
        <v>Wednesday</v>
      </c>
      <c r="C2081" s="12">
        <v>45595</v>
      </c>
      <c r="D2081" s="4">
        <v>0.80453107638888888</v>
      </c>
      <c r="E20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81" t="s">
        <v>3</v>
      </c>
      <c r="G2081" s="2">
        <v>30.86</v>
      </c>
    </row>
    <row r="2082" spans="1:7" x14ac:dyDescent="0.25">
      <c r="A20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241030-EVE003</v>
      </c>
      <c r="B2082" s="1" t="str">
        <f>TEXT(Coffee_sales_clean[[#This Row],[Transaction Date]],"dddd")</f>
        <v>Wednesday</v>
      </c>
      <c r="C2082" s="12">
        <v>45595</v>
      </c>
      <c r="D2082" s="4">
        <v>0.8217730324074074</v>
      </c>
      <c r="E20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082" t="s">
        <v>3</v>
      </c>
      <c r="G2082" s="2">
        <v>30.86</v>
      </c>
    </row>
    <row r="2083" spans="1:7" x14ac:dyDescent="0.25">
      <c r="A20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241031-MOR001</v>
      </c>
      <c r="B2083" s="1" t="str">
        <f>TEXT(Coffee_sales_clean[[#This Row],[Transaction Date]],"dddd")</f>
        <v>Thursday</v>
      </c>
      <c r="C2083" s="12">
        <v>45596</v>
      </c>
      <c r="D2083" s="4">
        <v>0.32936725694444446</v>
      </c>
      <c r="E20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83" t="s">
        <v>0</v>
      </c>
      <c r="G2083" s="2">
        <v>35.76</v>
      </c>
    </row>
    <row r="2084" spans="1:7" x14ac:dyDescent="0.25">
      <c r="A20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241031-MOR002</v>
      </c>
      <c r="B2084" s="1" t="str">
        <f>TEXT(Coffee_sales_clean[[#This Row],[Transaction Date]],"dddd")</f>
        <v>Thursday</v>
      </c>
      <c r="C2084" s="12">
        <v>45596</v>
      </c>
      <c r="D2084" s="4">
        <v>0.36034604166666667</v>
      </c>
      <c r="E20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84" t="s">
        <v>0</v>
      </c>
      <c r="G2084" s="2">
        <v>35.76</v>
      </c>
    </row>
    <row r="2085" spans="1:7" x14ac:dyDescent="0.25">
      <c r="A20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241031-MOR003</v>
      </c>
      <c r="B2085" s="1" t="str">
        <f>TEXT(Coffee_sales_clean[[#This Row],[Transaction Date]],"dddd")</f>
        <v>Thursday</v>
      </c>
      <c r="C2085" s="12">
        <v>45596</v>
      </c>
      <c r="D2085" s="4">
        <v>0.38772106481481483</v>
      </c>
      <c r="E20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85" t="s">
        <v>3</v>
      </c>
      <c r="G2085" s="2">
        <v>30.86</v>
      </c>
    </row>
    <row r="2086" spans="1:7" x14ac:dyDescent="0.25">
      <c r="A20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241031-AFT001</v>
      </c>
      <c r="B2086" s="1" t="str">
        <f>TEXT(Coffee_sales_clean[[#This Row],[Transaction Date]],"dddd")</f>
        <v>Thursday</v>
      </c>
      <c r="C2086" s="12">
        <v>45596</v>
      </c>
      <c r="D2086" s="4">
        <v>0.6662811111111111</v>
      </c>
      <c r="E20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86" t="s">
        <v>0</v>
      </c>
      <c r="G2086" s="2">
        <v>35.76</v>
      </c>
    </row>
    <row r="2087" spans="1:7" x14ac:dyDescent="0.25">
      <c r="A20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241031-AFT002</v>
      </c>
      <c r="B2087" s="1" t="str">
        <f>TEXT(Coffee_sales_clean[[#This Row],[Transaction Date]],"dddd")</f>
        <v>Thursday</v>
      </c>
      <c r="C2087" s="12">
        <v>45596</v>
      </c>
      <c r="D2087" s="4">
        <v>0.66702526620370373</v>
      </c>
      <c r="E20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87" t="s">
        <v>3</v>
      </c>
      <c r="G2087" s="2">
        <v>30.86</v>
      </c>
    </row>
    <row r="2088" spans="1:7" x14ac:dyDescent="0.25">
      <c r="A20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241101-MOR001</v>
      </c>
      <c r="B2088" s="1" t="str">
        <f>TEXT(Coffee_sales_clean[[#This Row],[Transaction Date]],"dddd")</f>
        <v>Friday</v>
      </c>
      <c r="C2088" s="12">
        <v>45597</v>
      </c>
      <c r="D2088" s="4">
        <v>0.35003936342592595</v>
      </c>
      <c r="E20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88" t="s">
        <v>4</v>
      </c>
      <c r="G2088" s="2">
        <v>35.76</v>
      </c>
    </row>
    <row r="2089" spans="1:7" x14ac:dyDescent="0.25">
      <c r="A20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241101-MOR002</v>
      </c>
      <c r="B2089" s="1" t="str">
        <f>TEXT(Coffee_sales_clean[[#This Row],[Transaction Date]],"dddd")</f>
        <v>Friday</v>
      </c>
      <c r="C2089" s="12">
        <v>45597</v>
      </c>
      <c r="D2089" s="4">
        <v>0.35483381944444442</v>
      </c>
      <c r="E20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89" t="s">
        <v>2</v>
      </c>
      <c r="G2089" s="2">
        <v>25.96</v>
      </c>
    </row>
    <row r="2090" spans="1:7" x14ac:dyDescent="0.25">
      <c r="A20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241101-MOR003</v>
      </c>
      <c r="B2090" s="1" t="str">
        <f>TEXT(Coffee_sales_clean[[#This Row],[Transaction Date]],"dddd")</f>
        <v>Friday</v>
      </c>
      <c r="C2090" s="12">
        <v>45597</v>
      </c>
      <c r="D2090" s="4">
        <v>0.45474971064814818</v>
      </c>
      <c r="E20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90" t="s">
        <v>0</v>
      </c>
      <c r="G2090" s="2">
        <v>35.76</v>
      </c>
    </row>
    <row r="2091" spans="1:7" x14ac:dyDescent="0.25">
      <c r="A20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241101-LUN001</v>
      </c>
      <c r="B2091" s="1" t="str">
        <f>TEXT(Coffee_sales_clean[[#This Row],[Transaction Date]],"dddd")</f>
        <v>Friday</v>
      </c>
      <c r="C2091" s="12">
        <v>45597</v>
      </c>
      <c r="D2091" s="4">
        <v>0.52877934027777773</v>
      </c>
      <c r="E20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91" t="s">
        <v>4</v>
      </c>
      <c r="G2091" s="2">
        <v>35.76</v>
      </c>
    </row>
    <row r="2092" spans="1:7" x14ac:dyDescent="0.25">
      <c r="A20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241101-LUN002</v>
      </c>
      <c r="B2092" s="1" t="str">
        <f>TEXT(Coffee_sales_clean[[#This Row],[Transaction Date]],"dddd")</f>
        <v>Friday</v>
      </c>
      <c r="C2092" s="12">
        <v>45597</v>
      </c>
      <c r="D2092" s="4">
        <v>0.52938006944444449</v>
      </c>
      <c r="E20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092" t="s">
        <v>4</v>
      </c>
      <c r="G2092" s="2">
        <v>35.76</v>
      </c>
    </row>
    <row r="2093" spans="1:7" x14ac:dyDescent="0.25">
      <c r="A20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241101-AFT001</v>
      </c>
      <c r="B2093" s="1" t="str">
        <f>TEXT(Coffee_sales_clean[[#This Row],[Transaction Date]],"dddd")</f>
        <v>Friday</v>
      </c>
      <c r="C2093" s="12">
        <v>45597</v>
      </c>
      <c r="D2093" s="4">
        <v>0.66368546296296294</v>
      </c>
      <c r="E20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93" t="s">
        <v>5</v>
      </c>
      <c r="G2093" s="2">
        <v>25.96</v>
      </c>
    </row>
    <row r="2094" spans="1:7" x14ac:dyDescent="0.25">
      <c r="A20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241101-LAT001</v>
      </c>
      <c r="B2094" s="1" t="str">
        <f>TEXT(Coffee_sales_clean[[#This Row],[Transaction Date]],"dddd")</f>
        <v>Friday</v>
      </c>
      <c r="C2094" s="12">
        <v>45597</v>
      </c>
      <c r="D2094" s="4">
        <v>0.94578583333333333</v>
      </c>
      <c r="E20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094" t="s">
        <v>3</v>
      </c>
      <c r="G2094" s="2">
        <v>30.86</v>
      </c>
    </row>
    <row r="2095" spans="1:7" x14ac:dyDescent="0.25">
      <c r="A20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241102-MOR001</v>
      </c>
      <c r="B2095" s="1" t="str">
        <f>TEXT(Coffee_sales_clean[[#This Row],[Transaction Date]],"dddd")</f>
        <v>Saturday</v>
      </c>
      <c r="C2095" s="12">
        <v>45598</v>
      </c>
      <c r="D2095" s="4">
        <v>0.34704078703703706</v>
      </c>
      <c r="E20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95" t="s">
        <v>5</v>
      </c>
      <c r="G2095" s="2">
        <v>25.96</v>
      </c>
    </row>
    <row r="2096" spans="1:7" x14ac:dyDescent="0.25">
      <c r="A20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241102-MOR002</v>
      </c>
      <c r="B2096" s="1" t="str">
        <f>TEXT(Coffee_sales_clean[[#This Row],[Transaction Date]],"dddd")</f>
        <v>Saturday</v>
      </c>
      <c r="C2096" s="12">
        <v>45598</v>
      </c>
      <c r="D2096" s="4">
        <v>0.43455980324074073</v>
      </c>
      <c r="E20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96" t="s">
        <v>4</v>
      </c>
      <c r="G2096" s="2">
        <v>35.76</v>
      </c>
    </row>
    <row r="2097" spans="1:7" x14ac:dyDescent="0.25">
      <c r="A20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241102-MOR003</v>
      </c>
      <c r="B2097" s="1" t="str">
        <f>TEXT(Coffee_sales_clean[[#This Row],[Transaction Date]],"dddd")</f>
        <v>Saturday</v>
      </c>
      <c r="C2097" s="12">
        <v>45598</v>
      </c>
      <c r="D2097" s="4">
        <v>0.43969400462962965</v>
      </c>
      <c r="E20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097" t="s">
        <v>3</v>
      </c>
      <c r="G2097" s="2">
        <v>30.86</v>
      </c>
    </row>
    <row r="2098" spans="1:7" x14ac:dyDescent="0.25">
      <c r="A20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241102-AFT001</v>
      </c>
      <c r="B2098" s="1" t="str">
        <f>TEXT(Coffee_sales_clean[[#This Row],[Transaction Date]],"dddd")</f>
        <v>Saturday</v>
      </c>
      <c r="C2098" s="12">
        <v>45598</v>
      </c>
      <c r="D2098" s="4">
        <v>0.62100287037037039</v>
      </c>
      <c r="E20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98" t="s">
        <v>3</v>
      </c>
      <c r="G2098" s="2">
        <v>30.86</v>
      </c>
    </row>
    <row r="2099" spans="1:7" x14ac:dyDescent="0.25">
      <c r="A20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241102-AFT002</v>
      </c>
      <c r="B2099" s="1" t="str">
        <f>TEXT(Coffee_sales_clean[[#This Row],[Transaction Date]],"dddd")</f>
        <v>Saturday</v>
      </c>
      <c r="C2099" s="12">
        <v>45598</v>
      </c>
      <c r="D2099" s="4">
        <v>0.68351684027777782</v>
      </c>
      <c r="E20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099" t="s">
        <v>1</v>
      </c>
      <c r="G2099" s="2">
        <v>35.76</v>
      </c>
    </row>
    <row r="2100" spans="1:7" x14ac:dyDescent="0.25">
      <c r="A21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241102-AFT003</v>
      </c>
      <c r="B2100" s="1" t="str">
        <f>TEXT(Coffee_sales_clean[[#This Row],[Transaction Date]],"dddd")</f>
        <v>Saturday</v>
      </c>
      <c r="C2100" s="12">
        <v>45598</v>
      </c>
      <c r="D2100" s="4">
        <v>0.68468763888888884</v>
      </c>
      <c r="E21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00" t="s">
        <v>0</v>
      </c>
      <c r="G2100" s="2">
        <v>35.76</v>
      </c>
    </row>
    <row r="2101" spans="1:7" x14ac:dyDescent="0.25">
      <c r="A21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241102-AFT004</v>
      </c>
      <c r="B2101" s="1" t="str">
        <f>TEXT(Coffee_sales_clean[[#This Row],[Transaction Date]],"dddd")</f>
        <v>Saturday</v>
      </c>
      <c r="C2101" s="12">
        <v>45598</v>
      </c>
      <c r="D2101" s="4">
        <v>0.69241903935185189</v>
      </c>
      <c r="E21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01" t="s">
        <v>0</v>
      </c>
      <c r="G2101" s="2">
        <v>35.76</v>
      </c>
    </row>
    <row r="2102" spans="1:7" x14ac:dyDescent="0.25">
      <c r="A21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241102-EVE001</v>
      </c>
      <c r="B2102" s="1" t="str">
        <f>TEXT(Coffee_sales_clean[[#This Row],[Transaction Date]],"dddd")</f>
        <v>Saturday</v>
      </c>
      <c r="C2102" s="12">
        <v>45598</v>
      </c>
      <c r="D2102" s="4">
        <v>0.7628145833333333</v>
      </c>
      <c r="E21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02" t="s">
        <v>3</v>
      </c>
      <c r="G2102" s="2">
        <v>30.86</v>
      </c>
    </row>
    <row r="2103" spans="1:7" x14ac:dyDescent="0.25">
      <c r="A21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241102-EVE002</v>
      </c>
      <c r="B2103" s="1" t="str">
        <f>TEXT(Coffee_sales_clean[[#This Row],[Transaction Date]],"dddd")</f>
        <v>Saturday</v>
      </c>
      <c r="C2103" s="12">
        <v>45598</v>
      </c>
      <c r="D2103" s="4">
        <v>0.79055002314814815</v>
      </c>
      <c r="E21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03" t="s">
        <v>2</v>
      </c>
      <c r="G2103" s="2">
        <v>25.96</v>
      </c>
    </row>
    <row r="2104" spans="1:7" x14ac:dyDescent="0.25">
      <c r="A21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241103-MOR001</v>
      </c>
      <c r="B2104" s="1" t="str">
        <f>TEXT(Coffee_sales_clean[[#This Row],[Transaction Date]],"dddd")</f>
        <v>Sunday</v>
      </c>
      <c r="C2104" s="12">
        <v>45599</v>
      </c>
      <c r="D2104" s="4">
        <v>0.34930974537037035</v>
      </c>
      <c r="E21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04" t="s">
        <v>5</v>
      </c>
      <c r="G2104" s="2">
        <v>25.96</v>
      </c>
    </row>
    <row r="2105" spans="1:7" x14ac:dyDescent="0.25">
      <c r="A21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241103-MOR002</v>
      </c>
      <c r="B2105" s="1" t="str">
        <f>TEXT(Coffee_sales_clean[[#This Row],[Transaction Date]],"dddd")</f>
        <v>Sunday</v>
      </c>
      <c r="C2105" s="12">
        <v>45599</v>
      </c>
      <c r="D2105" s="4">
        <v>0.40770862268518521</v>
      </c>
      <c r="E21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05" t="s">
        <v>3</v>
      </c>
      <c r="G2105" s="2">
        <v>30.86</v>
      </c>
    </row>
    <row r="2106" spans="1:7" x14ac:dyDescent="0.25">
      <c r="A21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241103-MOR003</v>
      </c>
      <c r="B2106" s="1" t="str">
        <f>TEXT(Coffee_sales_clean[[#This Row],[Transaction Date]],"dddd")</f>
        <v>Sunday</v>
      </c>
      <c r="C2106" s="12">
        <v>45599</v>
      </c>
      <c r="D2106" s="4">
        <v>0.40847241898148146</v>
      </c>
      <c r="E21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06" t="s">
        <v>3</v>
      </c>
      <c r="G2106" s="2">
        <v>30.86</v>
      </c>
    </row>
    <row r="2107" spans="1:7" x14ac:dyDescent="0.25">
      <c r="A21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241103-LUN001</v>
      </c>
      <c r="B2107" s="1" t="str">
        <f>TEXT(Coffee_sales_clean[[#This Row],[Transaction Date]],"dddd")</f>
        <v>Sunday</v>
      </c>
      <c r="C2107" s="12">
        <v>45599</v>
      </c>
      <c r="D2107" s="4">
        <v>0.55128939814814815</v>
      </c>
      <c r="E21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07" t="s">
        <v>0</v>
      </c>
      <c r="G2107" s="2">
        <v>35.76</v>
      </c>
    </row>
    <row r="2108" spans="1:7" x14ac:dyDescent="0.25">
      <c r="A21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241103-LUN002</v>
      </c>
      <c r="B2108" s="1" t="str">
        <f>TEXT(Coffee_sales_clean[[#This Row],[Transaction Date]],"dddd")</f>
        <v>Sunday</v>
      </c>
      <c r="C2108" s="12">
        <v>45599</v>
      </c>
      <c r="D2108" s="4">
        <v>0.55204482638888885</v>
      </c>
      <c r="E21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08" t="s">
        <v>3</v>
      </c>
      <c r="G2108" s="2">
        <v>30.86</v>
      </c>
    </row>
    <row r="2109" spans="1:7" x14ac:dyDescent="0.25">
      <c r="A21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241103-LUN003</v>
      </c>
      <c r="B2109" s="1" t="str">
        <f>TEXT(Coffee_sales_clean[[#This Row],[Transaction Date]],"dddd")</f>
        <v>Sunday</v>
      </c>
      <c r="C2109" s="12">
        <v>45599</v>
      </c>
      <c r="D2109" s="4">
        <v>0.5544530324074074</v>
      </c>
      <c r="E21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09" t="s">
        <v>4</v>
      </c>
      <c r="G2109" s="2">
        <v>35.76</v>
      </c>
    </row>
    <row r="2110" spans="1:7" x14ac:dyDescent="0.25">
      <c r="A21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241103-LUN004</v>
      </c>
      <c r="B2110" s="1" t="str">
        <f>TEXT(Coffee_sales_clean[[#This Row],[Transaction Date]],"dddd")</f>
        <v>Sunday</v>
      </c>
      <c r="C2110" s="12">
        <v>45599</v>
      </c>
      <c r="D2110" s="4">
        <v>0.57243652777777776</v>
      </c>
      <c r="E21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10" t="s">
        <v>2</v>
      </c>
      <c r="G2110" s="2">
        <v>25.96</v>
      </c>
    </row>
    <row r="2111" spans="1:7" x14ac:dyDescent="0.25">
      <c r="A21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241103-LUN005</v>
      </c>
      <c r="B2111" s="1" t="str">
        <f>TEXT(Coffee_sales_clean[[#This Row],[Transaction Date]],"dddd")</f>
        <v>Sunday</v>
      </c>
      <c r="C2111" s="12">
        <v>45599</v>
      </c>
      <c r="D2111" s="4">
        <v>0.58265135416666669</v>
      </c>
      <c r="E21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11" t="s">
        <v>3</v>
      </c>
      <c r="G2111" s="2">
        <v>30.86</v>
      </c>
    </row>
    <row r="2112" spans="1:7" x14ac:dyDescent="0.25">
      <c r="A21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241103-AFT001</v>
      </c>
      <c r="B2112" s="1" t="str">
        <f>TEXT(Coffee_sales_clean[[#This Row],[Transaction Date]],"dddd")</f>
        <v>Sunday</v>
      </c>
      <c r="C2112" s="12">
        <v>45599</v>
      </c>
      <c r="D2112" s="4">
        <v>0.67728825231481482</v>
      </c>
      <c r="E21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12" t="s">
        <v>1</v>
      </c>
      <c r="G2112" s="2">
        <v>35.76</v>
      </c>
    </row>
    <row r="2113" spans="1:7" x14ac:dyDescent="0.25">
      <c r="A21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241103-AFT002</v>
      </c>
      <c r="B2113" s="1" t="str">
        <f>TEXT(Coffee_sales_clean[[#This Row],[Transaction Date]],"dddd")</f>
        <v>Sunday</v>
      </c>
      <c r="C2113" s="12">
        <v>45599</v>
      </c>
      <c r="D2113" s="4">
        <v>0.67828179398148147</v>
      </c>
      <c r="E21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13" t="s">
        <v>1</v>
      </c>
      <c r="G2113" s="2">
        <v>35.76</v>
      </c>
    </row>
    <row r="2114" spans="1:7" x14ac:dyDescent="0.25">
      <c r="A21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241103-AFT003</v>
      </c>
      <c r="B2114" s="1" t="str">
        <f>TEXT(Coffee_sales_clean[[#This Row],[Transaction Date]],"dddd")</f>
        <v>Sunday</v>
      </c>
      <c r="C2114" s="12">
        <v>45599</v>
      </c>
      <c r="D2114" s="4">
        <v>0.6809851388888889</v>
      </c>
      <c r="E21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14" t="s">
        <v>2</v>
      </c>
      <c r="G2114" s="2">
        <v>25.96</v>
      </c>
    </row>
    <row r="2115" spans="1:7" x14ac:dyDescent="0.25">
      <c r="A21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241103-AFT004</v>
      </c>
      <c r="B2115" s="1" t="str">
        <f>TEXT(Coffee_sales_clean[[#This Row],[Transaction Date]],"dddd")</f>
        <v>Sunday</v>
      </c>
      <c r="C2115" s="12">
        <v>45599</v>
      </c>
      <c r="D2115" s="4">
        <v>0.68178304398148148</v>
      </c>
      <c r="E21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15" t="s">
        <v>2</v>
      </c>
      <c r="G2115" s="2">
        <v>25.96</v>
      </c>
    </row>
    <row r="2116" spans="1:7" x14ac:dyDescent="0.25">
      <c r="A21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241103-LAT001</v>
      </c>
      <c r="B2116" s="1" t="str">
        <f>TEXT(Coffee_sales_clean[[#This Row],[Transaction Date]],"dddd")</f>
        <v>Sunday</v>
      </c>
      <c r="C2116" s="12">
        <v>45599</v>
      </c>
      <c r="D2116" s="4">
        <v>0.85155822916666668</v>
      </c>
      <c r="E21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16" t="s">
        <v>4</v>
      </c>
      <c r="G2116" s="2">
        <v>35.76</v>
      </c>
    </row>
    <row r="2117" spans="1:7" x14ac:dyDescent="0.25">
      <c r="A21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241104-MOR001</v>
      </c>
      <c r="B2117" s="1" t="str">
        <f>TEXT(Coffee_sales_clean[[#This Row],[Transaction Date]],"dddd")</f>
        <v>Monday</v>
      </c>
      <c r="C2117" s="12">
        <v>45600</v>
      </c>
      <c r="D2117" s="4">
        <v>0.32195461805555553</v>
      </c>
      <c r="E21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17" t="s">
        <v>0</v>
      </c>
      <c r="G2117" s="2">
        <v>35.76</v>
      </c>
    </row>
    <row r="2118" spans="1:7" x14ac:dyDescent="0.25">
      <c r="A21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241104-MOR002</v>
      </c>
      <c r="B2118" s="1" t="str">
        <f>TEXT(Coffee_sales_clean[[#This Row],[Transaction Date]],"dddd")</f>
        <v>Monday</v>
      </c>
      <c r="C2118" s="12">
        <v>45600</v>
      </c>
      <c r="D2118" s="4">
        <v>0.35941365740740738</v>
      </c>
      <c r="E21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18" t="s">
        <v>0</v>
      </c>
      <c r="G2118" s="2">
        <v>35.76</v>
      </c>
    </row>
    <row r="2119" spans="1:7" x14ac:dyDescent="0.25">
      <c r="A21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241104-MOR003</v>
      </c>
      <c r="B2119" s="1" t="str">
        <f>TEXT(Coffee_sales_clean[[#This Row],[Transaction Date]],"dddd")</f>
        <v>Monday</v>
      </c>
      <c r="C2119" s="12">
        <v>45600</v>
      </c>
      <c r="D2119" s="4">
        <v>0.36040351851851854</v>
      </c>
      <c r="E21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19" t="s">
        <v>3</v>
      </c>
      <c r="G2119" s="2">
        <v>30.86</v>
      </c>
    </row>
    <row r="2120" spans="1:7" x14ac:dyDescent="0.25">
      <c r="A21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241104-LUN001</v>
      </c>
      <c r="B2120" s="1" t="str">
        <f>TEXT(Coffee_sales_clean[[#This Row],[Transaction Date]],"dddd")</f>
        <v>Monday</v>
      </c>
      <c r="C2120" s="12">
        <v>45600</v>
      </c>
      <c r="D2120" s="4">
        <v>0.52333085648148148</v>
      </c>
      <c r="E21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20" t="s">
        <v>2</v>
      </c>
      <c r="G2120" s="2">
        <v>25.96</v>
      </c>
    </row>
    <row r="2121" spans="1:7" x14ac:dyDescent="0.25">
      <c r="A21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241104-LUN002</v>
      </c>
      <c r="B2121" s="1" t="str">
        <f>TEXT(Coffee_sales_clean[[#This Row],[Transaction Date]],"dddd")</f>
        <v>Monday</v>
      </c>
      <c r="C2121" s="12">
        <v>45600</v>
      </c>
      <c r="D2121" s="4">
        <v>0.52437570601851857</v>
      </c>
      <c r="E21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21" t="s">
        <v>3</v>
      </c>
      <c r="G2121" s="2">
        <v>30.86</v>
      </c>
    </row>
    <row r="2122" spans="1:7" x14ac:dyDescent="0.25">
      <c r="A21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241104-AFT001</v>
      </c>
      <c r="B2122" s="1" t="str">
        <f>TEXT(Coffee_sales_clean[[#This Row],[Transaction Date]],"dddd")</f>
        <v>Monday</v>
      </c>
      <c r="C2122" s="12">
        <v>45600</v>
      </c>
      <c r="D2122" s="4">
        <v>0.61432931712962968</v>
      </c>
      <c r="E21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22" t="s">
        <v>4</v>
      </c>
      <c r="G2122" s="2">
        <v>35.76</v>
      </c>
    </row>
    <row r="2123" spans="1:7" x14ac:dyDescent="0.25">
      <c r="A21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241104-AFT002</v>
      </c>
      <c r="B2123" s="1" t="str">
        <f>TEXT(Coffee_sales_clean[[#This Row],[Transaction Date]],"dddd")</f>
        <v>Monday</v>
      </c>
      <c r="C2123" s="12">
        <v>45600</v>
      </c>
      <c r="D2123" s="4">
        <v>0.61481510416666663</v>
      </c>
      <c r="E21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23" t="s">
        <v>4</v>
      </c>
      <c r="G2123" s="2">
        <v>35.76</v>
      </c>
    </row>
    <row r="2124" spans="1:7" x14ac:dyDescent="0.25">
      <c r="A21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241105-MOR001</v>
      </c>
      <c r="B2124" s="1" t="str">
        <f>TEXT(Coffee_sales_clean[[#This Row],[Transaction Date]],"dddd")</f>
        <v>Tuesday</v>
      </c>
      <c r="C2124" s="12">
        <v>45601</v>
      </c>
      <c r="D2124" s="4">
        <v>0.32606034722222221</v>
      </c>
      <c r="E21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24" t="s">
        <v>4</v>
      </c>
      <c r="G2124" s="2">
        <v>35.76</v>
      </c>
    </row>
    <row r="2125" spans="1:7" x14ac:dyDescent="0.25">
      <c r="A21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241105-MOR002</v>
      </c>
      <c r="B2125" s="1" t="str">
        <f>TEXT(Coffee_sales_clean[[#This Row],[Transaction Date]],"dddd")</f>
        <v>Tuesday</v>
      </c>
      <c r="C2125" s="12">
        <v>45601</v>
      </c>
      <c r="D2125" s="4">
        <v>0.37895613425925928</v>
      </c>
      <c r="E21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25" t="s">
        <v>3</v>
      </c>
      <c r="G2125" s="2">
        <v>30.86</v>
      </c>
    </row>
    <row r="2126" spans="1:7" x14ac:dyDescent="0.25">
      <c r="A21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241105-MOR003</v>
      </c>
      <c r="B2126" s="1" t="str">
        <f>TEXT(Coffee_sales_clean[[#This Row],[Transaction Date]],"dddd")</f>
        <v>Tuesday</v>
      </c>
      <c r="C2126" s="12">
        <v>45601</v>
      </c>
      <c r="D2126" s="4">
        <v>0.38347597222222224</v>
      </c>
      <c r="E21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26" t="s">
        <v>7</v>
      </c>
      <c r="G2126" s="2">
        <v>35.76</v>
      </c>
    </row>
    <row r="2127" spans="1:7" x14ac:dyDescent="0.25">
      <c r="A21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241105-MOR004</v>
      </c>
      <c r="B2127" s="1" t="str">
        <f>TEXT(Coffee_sales_clean[[#This Row],[Transaction Date]],"dddd")</f>
        <v>Tuesday</v>
      </c>
      <c r="C2127" s="12">
        <v>45601</v>
      </c>
      <c r="D2127" s="4">
        <v>0.38449486111111109</v>
      </c>
      <c r="E21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27" t="s">
        <v>3</v>
      </c>
      <c r="G2127" s="2">
        <v>30.86</v>
      </c>
    </row>
    <row r="2128" spans="1:7" x14ac:dyDescent="0.25">
      <c r="A21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241105-MOR005</v>
      </c>
      <c r="B2128" s="1" t="str">
        <f>TEXT(Coffee_sales_clean[[#This Row],[Transaction Date]],"dddd")</f>
        <v>Tuesday</v>
      </c>
      <c r="C2128" s="12">
        <v>45601</v>
      </c>
      <c r="D2128" s="4">
        <v>0.44565105324074072</v>
      </c>
      <c r="E21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28" t="s">
        <v>3</v>
      </c>
      <c r="G2128" s="2">
        <v>30.86</v>
      </c>
    </row>
    <row r="2129" spans="1:7" x14ac:dyDescent="0.25">
      <c r="A21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241105-LUN001</v>
      </c>
      <c r="B2129" s="1" t="str">
        <f>TEXT(Coffee_sales_clean[[#This Row],[Transaction Date]],"dddd")</f>
        <v>Tuesday</v>
      </c>
      <c r="C2129" s="12">
        <v>45601</v>
      </c>
      <c r="D2129" s="4">
        <v>0.49131781250000001</v>
      </c>
      <c r="E21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29" t="s">
        <v>4</v>
      </c>
      <c r="G2129" s="2">
        <v>35.76</v>
      </c>
    </row>
    <row r="2130" spans="1:7" x14ac:dyDescent="0.25">
      <c r="A21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241105-LUN002</v>
      </c>
      <c r="B2130" s="1" t="str">
        <f>TEXT(Coffee_sales_clean[[#This Row],[Transaction Date]],"dddd")</f>
        <v>Tuesday</v>
      </c>
      <c r="C2130" s="12">
        <v>45601</v>
      </c>
      <c r="D2130" s="4">
        <v>0.49192689814814816</v>
      </c>
      <c r="E21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30" t="s">
        <v>0</v>
      </c>
      <c r="G2130" s="2">
        <v>35.76</v>
      </c>
    </row>
    <row r="2131" spans="1:7" x14ac:dyDescent="0.25">
      <c r="A21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241105-AFT001</v>
      </c>
      <c r="B2131" s="1" t="str">
        <f>TEXT(Coffee_sales_clean[[#This Row],[Transaction Date]],"dddd")</f>
        <v>Tuesday</v>
      </c>
      <c r="C2131" s="12">
        <v>45601</v>
      </c>
      <c r="D2131" s="4">
        <v>0.60877148148148152</v>
      </c>
      <c r="E21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31" t="s">
        <v>0</v>
      </c>
      <c r="G2131" s="2">
        <v>35.76</v>
      </c>
    </row>
    <row r="2132" spans="1:7" x14ac:dyDescent="0.25">
      <c r="A21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241105-AFT002</v>
      </c>
      <c r="B2132" s="1" t="str">
        <f>TEXT(Coffee_sales_clean[[#This Row],[Transaction Date]],"dddd")</f>
        <v>Tuesday</v>
      </c>
      <c r="C2132" s="12">
        <v>45601</v>
      </c>
      <c r="D2132" s="4">
        <v>0.61236166666666669</v>
      </c>
      <c r="E21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32" t="s">
        <v>0</v>
      </c>
      <c r="G2132" s="2">
        <v>35.76</v>
      </c>
    </row>
    <row r="2133" spans="1:7" x14ac:dyDescent="0.25">
      <c r="A21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241105-EVE001</v>
      </c>
      <c r="B2133" s="1" t="str">
        <f>TEXT(Coffee_sales_clean[[#This Row],[Transaction Date]],"dddd")</f>
        <v>Tuesday</v>
      </c>
      <c r="C2133" s="12">
        <v>45601</v>
      </c>
      <c r="D2133" s="4">
        <v>0.7867624305555555</v>
      </c>
      <c r="E21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33" t="s">
        <v>7</v>
      </c>
      <c r="G2133" s="2">
        <v>35.76</v>
      </c>
    </row>
    <row r="2134" spans="1:7" x14ac:dyDescent="0.25">
      <c r="A21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241105-EVE002</v>
      </c>
      <c r="B2134" s="1" t="str">
        <f>TEXT(Coffee_sales_clean[[#This Row],[Transaction Date]],"dddd")</f>
        <v>Tuesday</v>
      </c>
      <c r="C2134" s="12">
        <v>45601</v>
      </c>
      <c r="D2134" s="4">
        <v>0.78762415509259254</v>
      </c>
      <c r="E21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34" t="s">
        <v>7</v>
      </c>
      <c r="G2134" s="2">
        <v>35.76</v>
      </c>
    </row>
    <row r="2135" spans="1:7" x14ac:dyDescent="0.25">
      <c r="A21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241105-EVE003</v>
      </c>
      <c r="B2135" s="1" t="str">
        <f>TEXT(Coffee_sales_clean[[#This Row],[Transaction Date]],"dddd")</f>
        <v>Tuesday</v>
      </c>
      <c r="C2135" s="12">
        <v>45601</v>
      </c>
      <c r="D2135" s="4">
        <v>0.78841002314814812</v>
      </c>
      <c r="E21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35" t="s">
        <v>7</v>
      </c>
      <c r="G2135" s="2">
        <v>35.76</v>
      </c>
    </row>
    <row r="2136" spans="1:7" x14ac:dyDescent="0.25">
      <c r="A21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241105-LAT001</v>
      </c>
      <c r="B2136" s="1" t="str">
        <f>TEXT(Coffee_sales_clean[[#This Row],[Transaction Date]],"dddd")</f>
        <v>Tuesday</v>
      </c>
      <c r="C2136" s="12">
        <v>45601</v>
      </c>
      <c r="D2136" s="4">
        <v>0.90329567129629629</v>
      </c>
      <c r="E21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36" t="s">
        <v>4</v>
      </c>
      <c r="G2136" s="2">
        <v>35.76</v>
      </c>
    </row>
    <row r="2137" spans="1:7" x14ac:dyDescent="0.25">
      <c r="A21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241105-LAT002</v>
      </c>
      <c r="B2137" s="1" t="str">
        <f>TEXT(Coffee_sales_clean[[#This Row],[Transaction Date]],"dddd")</f>
        <v>Tuesday</v>
      </c>
      <c r="C2137" s="12">
        <v>45601</v>
      </c>
      <c r="D2137" s="4">
        <v>0.90419850694444448</v>
      </c>
      <c r="E21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37" t="s">
        <v>4</v>
      </c>
      <c r="G2137" s="2">
        <v>35.76</v>
      </c>
    </row>
    <row r="2138" spans="1:7" x14ac:dyDescent="0.25">
      <c r="A21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241105-LAT003</v>
      </c>
      <c r="B2138" s="1" t="str">
        <f>TEXT(Coffee_sales_clean[[#This Row],[Transaction Date]],"dddd")</f>
        <v>Tuesday</v>
      </c>
      <c r="C2138" s="12">
        <v>45601</v>
      </c>
      <c r="D2138" s="4">
        <v>0.91272739583333329</v>
      </c>
      <c r="E21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38" t="s">
        <v>1</v>
      </c>
      <c r="G2138" s="2">
        <v>35.76</v>
      </c>
    </row>
    <row r="2139" spans="1:7" x14ac:dyDescent="0.25">
      <c r="A21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241105-LAT004</v>
      </c>
      <c r="B2139" s="1" t="str">
        <f>TEXT(Coffee_sales_clean[[#This Row],[Transaction Date]],"dddd")</f>
        <v>Tuesday</v>
      </c>
      <c r="C2139" s="12">
        <v>45601</v>
      </c>
      <c r="D2139" s="4">
        <v>0.92072454861111108</v>
      </c>
      <c r="E21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39" t="s">
        <v>1</v>
      </c>
      <c r="G2139" s="2">
        <v>35.76</v>
      </c>
    </row>
    <row r="2140" spans="1:7" x14ac:dyDescent="0.25">
      <c r="A21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241105-LAT005</v>
      </c>
      <c r="B2140" s="1" t="str">
        <f>TEXT(Coffee_sales_clean[[#This Row],[Transaction Date]],"dddd")</f>
        <v>Tuesday</v>
      </c>
      <c r="C2140" s="12">
        <v>45601</v>
      </c>
      <c r="D2140" s="4">
        <v>0.92128440972222225</v>
      </c>
      <c r="E21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40" t="s">
        <v>3</v>
      </c>
      <c r="G2140" s="2">
        <v>30.86</v>
      </c>
    </row>
    <row r="2141" spans="1:7" x14ac:dyDescent="0.25">
      <c r="A21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241106-MOR001</v>
      </c>
      <c r="B2141" s="1" t="str">
        <f>TEXT(Coffee_sales_clean[[#This Row],[Transaction Date]],"dddd")</f>
        <v>Wednesday</v>
      </c>
      <c r="C2141" s="12">
        <v>45602</v>
      </c>
      <c r="D2141" s="4">
        <v>0.34126296296296299</v>
      </c>
      <c r="E21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41" t="s">
        <v>0</v>
      </c>
      <c r="G2141" s="2">
        <v>35.76</v>
      </c>
    </row>
    <row r="2142" spans="1:7" x14ac:dyDescent="0.25">
      <c r="A21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241106-LUN001</v>
      </c>
      <c r="B2142" s="1" t="str">
        <f>TEXT(Coffee_sales_clean[[#This Row],[Transaction Date]],"dddd")</f>
        <v>Wednesday</v>
      </c>
      <c r="C2142" s="12">
        <v>45602</v>
      </c>
      <c r="D2142" s="4">
        <v>0.48994413194444447</v>
      </c>
      <c r="E21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42" t="s">
        <v>6</v>
      </c>
      <c r="G2142" s="2">
        <v>21.06</v>
      </c>
    </row>
    <row r="2143" spans="1:7" x14ac:dyDescent="0.25">
      <c r="A21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241106-LUN002</v>
      </c>
      <c r="B2143" s="1" t="str">
        <f>TEXT(Coffee_sales_clean[[#This Row],[Transaction Date]],"dddd")</f>
        <v>Wednesday</v>
      </c>
      <c r="C2143" s="12">
        <v>45602</v>
      </c>
      <c r="D2143" s="4">
        <v>0.5524636805555555</v>
      </c>
      <c r="E21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43" t="s">
        <v>2</v>
      </c>
      <c r="G2143" s="2">
        <v>25.96</v>
      </c>
    </row>
    <row r="2144" spans="1:7" x14ac:dyDescent="0.25">
      <c r="A21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241106-AFT001</v>
      </c>
      <c r="B2144" s="1" t="str">
        <f>TEXT(Coffee_sales_clean[[#This Row],[Transaction Date]],"dddd")</f>
        <v>Wednesday</v>
      </c>
      <c r="C2144" s="12">
        <v>45602</v>
      </c>
      <c r="D2144" s="4">
        <v>0.65574646990740737</v>
      </c>
      <c r="E21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44" t="s">
        <v>7</v>
      </c>
      <c r="G2144" s="2">
        <v>35.76</v>
      </c>
    </row>
    <row r="2145" spans="1:7" x14ac:dyDescent="0.25">
      <c r="A21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241106-AFT002</v>
      </c>
      <c r="B2145" s="1" t="str">
        <f>TEXT(Coffee_sales_clean[[#This Row],[Transaction Date]],"dddd")</f>
        <v>Wednesday</v>
      </c>
      <c r="C2145" s="12">
        <v>45602</v>
      </c>
      <c r="D2145" s="4">
        <v>0.66717376157407404</v>
      </c>
      <c r="E21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45" t="s">
        <v>0</v>
      </c>
      <c r="G2145" s="2">
        <v>35.76</v>
      </c>
    </row>
    <row r="2146" spans="1:7" x14ac:dyDescent="0.25">
      <c r="A21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241106-AFT003</v>
      </c>
      <c r="B2146" s="1" t="str">
        <f>TEXT(Coffee_sales_clean[[#This Row],[Transaction Date]],"dddd")</f>
        <v>Wednesday</v>
      </c>
      <c r="C2146" s="12">
        <v>45602</v>
      </c>
      <c r="D2146" s="4">
        <v>0.66811473379629627</v>
      </c>
      <c r="E21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46" t="s">
        <v>7</v>
      </c>
      <c r="G2146" s="2">
        <v>35.76</v>
      </c>
    </row>
    <row r="2147" spans="1:7" x14ac:dyDescent="0.25">
      <c r="A21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241106-EVE001</v>
      </c>
      <c r="B2147" s="1" t="str">
        <f>TEXT(Coffee_sales_clean[[#This Row],[Transaction Date]],"dddd")</f>
        <v>Wednesday</v>
      </c>
      <c r="C2147" s="12">
        <v>45602</v>
      </c>
      <c r="D2147" s="4">
        <v>0.77827378472222219</v>
      </c>
      <c r="E21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47" t="s">
        <v>1</v>
      </c>
      <c r="G2147" s="2">
        <v>35.76</v>
      </c>
    </row>
    <row r="2148" spans="1:7" x14ac:dyDescent="0.25">
      <c r="A21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241106-EVE002</v>
      </c>
      <c r="B2148" s="1" t="str">
        <f>TEXT(Coffee_sales_clean[[#This Row],[Transaction Date]],"dddd")</f>
        <v>Wednesday</v>
      </c>
      <c r="C2148" s="12">
        <v>45602</v>
      </c>
      <c r="D2148" s="4">
        <v>0.77882700231481483</v>
      </c>
      <c r="E21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48" t="s">
        <v>1</v>
      </c>
      <c r="G2148" s="2">
        <v>35.76</v>
      </c>
    </row>
    <row r="2149" spans="1:7" x14ac:dyDescent="0.25">
      <c r="A21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241107-LUN001</v>
      </c>
      <c r="B2149" s="1" t="str">
        <f>TEXT(Coffee_sales_clean[[#This Row],[Transaction Date]],"dddd")</f>
        <v>Thursday</v>
      </c>
      <c r="C2149" s="12">
        <v>45603</v>
      </c>
      <c r="D2149" s="4">
        <v>0.51199065972222224</v>
      </c>
      <c r="E21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49" t="s">
        <v>0</v>
      </c>
      <c r="G2149" s="2">
        <v>35.76</v>
      </c>
    </row>
    <row r="2150" spans="1:7" x14ac:dyDescent="0.25">
      <c r="A21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241107-AFT001</v>
      </c>
      <c r="B2150" s="1" t="str">
        <f>TEXT(Coffee_sales_clean[[#This Row],[Transaction Date]],"dddd")</f>
        <v>Thursday</v>
      </c>
      <c r="C2150" s="12">
        <v>45603</v>
      </c>
      <c r="D2150" s="4">
        <v>0.65984442129629628</v>
      </c>
      <c r="E21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50" t="s">
        <v>2</v>
      </c>
      <c r="G2150" s="2">
        <v>25.96</v>
      </c>
    </row>
    <row r="2151" spans="1:7" x14ac:dyDescent="0.25">
      <c r="A21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241107-AFT002</v>
      </c>
      <c r="B2151" s="1" t="str">
        <f>TEXT(Coffee_sales_clean[[#This Row],[Transaction Date]],"dddd")</f>
        <v>Thursday</v>
      </c>
      <c r="C2151" s="12">
        <v>45603</v>
      </c>
      <c r="D2151" s="4">
        <v>0.69420609953703705</v>
      </c>
      <c r="E21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51" t="s">
        <v>2</v>
      </c>
      <c r="G2151" s="2">
        <v>25.96</v>
      </c>
    </row>
    <row r="2152" spans="1:7" x14ac:dyDescent="0.25">
      <c r="A21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241107-EVE001</v>
      </c>
      <c r="B2152" s="1" t="str">
        <f>TEXT(Coffee_sales_clean[[#This Row],[Transaction Date]],"dddd")</f>
        <v>Thursday</v>
      </c>
      <c r="C2152" s="12">
        <v>45603</v>
      </c>
      <c r="D2152" s="4">
        <v>0.76219599537037042</v>
      </c>
      <c r="E21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52" t="s">
        <v>4</v>
      </c>
      <c r="G2152" s="2">
        <v>35.76</v>
      </c>
    </row>
    <row r="2153" spans="1:7" x14ac:dyDescent="0.25">
      <c r="A21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241107-EVE002</v>
      </c>
      <c r="B2153" s="1" t="str">
        <f>TEXT(Coffee_sales_clean[[#This Row],[Transaction Date]],"dddd")</f>
        <v>Thursday</v>
      </c>
      <c r="C2153" s="12">
        <v>45603</v>
      </c>
      <c r="D2153" s="4">
        <v>0.80572629629629633</v>
      </c>
      <c r="E21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53" t="s">
        <v>1</v>
      </c>
      <c r="G2153" s="2">
        <v>35.76</v>
      </c>
    </row>
    <row r="2154" spans="1:7" x14ac:dyDescent="0.25">
      <c r="A21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241107-EVE003</v>
      </c>
      <c r="B2154" s="1" t="str">
        <f>TEXT(Coffee_sales_clean[[#This Row],[Transaction Date]],"dddd")</f>
        <v>Thursday</v>
      </c>
      <c r="C2154" s="12">
        <v>45603</v>
      </c>
      <c r="D2154" s="4">
        <v>0.80669008101851847</v>
      </c>
      <c r="E21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54" t="s">
        <v>0</v>
      </c>
      <c r="G2154" s="2">
        <v>35.76</v>
      </c>
    </row>
    <row r="2155" spans="1:7" x14ac:dyDescent="0.25">
      <c r="A21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241107-LAT001</v>
      </c>
      <c r="B2155" s="1" t="str">
        <f>TEXT(Coffee_sales_clean[[#This Row],[Transaction Date]],"dddd")</f>
        <v>Thursday</v>
      </c>
      <c r="C2155" s="12">
        <v>45603</v>
      </c>
      <c r="D2155" s="4">
        <v>0.83507722222222225</v>
      </c>
      <c r="E21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55" t="s">
        <v>0</v>
      </c>
      <c r="G2155" s="2">
        <v>35.76</v>
      </c>
    </row>
    <row r="2156" spans="1:7" x14ac:dyDescent="0.25">
      <c r="A21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241108-MOR001</v>
      </c>
      <c r="B2156" s="1" t="str">
        <f>TEXT(Coffee_sales_clean[[#This Row],[Transaction Date]],"dddd")</f>
        <v>Friday</v>
      </c>
      <c r="C2156" s="12">
        <v>45604</v>
      </c>
      <c r="D2156" s="4">
        <v>0.37895965277777777</v>
      </c>
      <c r="E21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56" t="s">
        <v>3</v>
      </c>
      <c r="G2156" s="2">
        <v>30.86</v>
      </c>
    </row>
    <row r="2157" spans="1:7" x14ac:dyDescent="0.25">
      <c r="A21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241108-MOR002</v>
      </c>
      <c r="B2157" s="1" t="str">
        <f>TEXT(Coffee_sales_clean[[#This Row],[Transaction Date]],"dddd")</f>
        <v>Friday</v>
      </c>
      <c r="C2157" s="12">
        <v>45604</v>
      </c>
      <c r="D2157" s="4">
        <v>0.40799652777777778</v>
      </c>
      <c r="E21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57" t="s">
        <v>2</v>
      </c>
      <c r="G2157" s="2">
        <v>25.96</v>
      </c>
    </row>
    <row r="2158" spans="1:7" x14ac:dyDescent="0.25">
      <c r="A21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241108-MOR003</v>
      </c>
      <c r="B2158" s="1" t="str">
        <f>TEXT(Coffee_sales_clean[[#This Row],[Transaction Date]],"dddd")</f>
        <v>Friday</v>
      </c>
      <c r="C2158" s="12">
        <v>45604</v>
      </c>
      <c r="D2158" s="4">
        <v>0.40902468749999998</v>
      </c>
      <c r="E21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58" t="s">
        <v>2</v>
      </c>
      <c r="G2158" s="2">
        <v>25.96</v>
      </c>
    </row>
    <row r="2159" spans="1:7" x14ac:dyDescent="0.25">
      <c r="A21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241108-LUN001</v>
      </c>
      <c r="B2159" s="1" t="str">
        <f>TEXT(Coffee_sales_clean[[#This Row],[Transaction Date]],"dddd")</f>
        <v>Friday</v>
      </c>
      <c r="C2159" s="12">
        <v>45604</v>
      </c>
      <c r="D2159" s="4">
        <v>0.49110405092592591</v>
      </c>
      <c r="E21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59" t="s">
        <v>7</v>
      </c>
      <c r="G2159" s="2">
        <v>35.76</v>
      </c>
    </row>
    <row r="2160" spans="1:7" x14ac:dyDescent="0.25">
      <c r="A21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241108-LUN002</v>
      </c>
      <c r="B2160" s="1" t="str">
        <f>TEXT(Coffee_sales_clean[[#This Row],[Transaction Date]],"dddd")</f>
        <v>Friday</v>
      </c>
      <c r="C2160" s="12">
        <v>45604</v>
      </c>
      <c r="D2160" s="4">
        <v>0.55918341435185182</v>
      </c>
      <c r="E21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60" t="s">
        <v>0</v>
      </c>
      <c r="G2160" s="2">
        <v>35.76</v>
      </c>
    </row>
    <row r="2161" spans="1:7" x14ac:dyDescent="0.25">
      <c r="A21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241108-LUN003</v>
      </c>
      <c r="B2161" s="1" t="str">
        <f>TEXT(Coffee_sales_clean[[#This Row],[Transaction Date]],"dddd")</f>
        <v>Friday</v>
      </c>
      <c r="C2161" s="12">
        <v>45604</v>
      </c>
      <c r="D2161" s="4">
        <v>0.55992606481481477</v>
      </c>
      <c r="E21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61" t="s">
        <v>0</v>
      </c>
      <c r="G2161" s="2">
        <v>35.76</v>
      </c>
    </row>
    <row r="2162" spans="1:7" x14ac:dyDescent="0.25">
      <c r="A21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241108-AFT001</v>
      </c>
      <c r="B2162" s="1" t="str">
        <f>TEXT(Coffee_sales_clean[[#This Row],[Transaction Date]],"dddd")</f>
        <v>Friday</v>
      </c>
      <c r="C2162" s="12">
        <v>45604</v>
      </c>
      <c r="D2162" s="4">
        <v>0.68961671296296301</v>
      </c>
      <c r="E21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62" t="s">
        <v>3</v>
      </c>
      <c r="G2162" s="2">
        <v>30.86</v>
      </c>
    </row>
    <row r="2163" spans="1:7" x14ac:dyDescent="0.25">
      <c r="A21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241108-AFT002</v>
      </c>
      <c r="B2163" s="1" t="str">
        <f>TEXT(Coffee_sales_clean[[#This Row],[Transaction Date]],"dddd")</f>
        <v>Friday</v>
      </c>
      <c r="C2163" s="12">
        <v>45604</v>
      </c>
      <c r="D2163" s="4">
        <v>0.70518568287037042</v>
      </c>
      <c r="E21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63" t="s">
        <v>3</v>
      </c>
      <c r="G2163" s="2">
        <v>30.86</v>
      </c>
    </row>
    <row r="2164" spans="1:7" x14ac:dyDescent="0.25">
      <c r="A21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241108-LAT001</v>
      </c>
      <c r="B2164" s="1" t="str">
        <f>TEXT(Coffee_sales_clean[[#This Row],[Transaction Date]],"dddd")</f>
        <v>Friday</v>
      </c>
      <c r="C2164" s="12">
        <v>45604</v>
      </c>
      <c r="D2164" s="4">
        <v>0.84273341435185189</v>
      </c>
      <c r="E21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64" t="s">
        <v>1</v>
      </c>
      <c r="G2164" s="2">
        <v>35.76</v>
      </c>
    </row>
    <row r="2165" spans="1:7" x14ac:dyDescent="0.25">
      <c r="A21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241108-LAT002</v>
      </c>
      <c r="B2165" s="1" t="str">
        <f>TEXT(Coffee_sales_clean[[#This Row],[Transaction Date]],"dddd")</f>
        <v>Friday</v>
      </c>
      <c r="C2165" s="12">
        <v>45604</v>
      </c>
      <c r="D2165" s="4">
        <v>0.8433366898148148</v>
      </c>
      <c r="E21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65" t="s">
        <v>1</v>
      </c>
      <c r="G2165" s="2">
        <v>35.76</v>
      </c>
    </row>
    <row r="2166" spans="1:7" x14ac:dyDescent="0.25">
      <c r="A21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241108-LAT003</v>
      </c>
      <c r="B2166" s="1" t="str">
        <f>TEXT(Coffee_sales_clean[[#This Row],[Transaction Date]],"dddd")</f>
        <v>Friday</v>
      </c>
      <c r="C2166" s="12">
        <v>45604</v>
      </c>
      <c r="D2166" s="4">
        <v>0.84398148148148144</v>
      </c>
      <c r="E21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66" t="s">
        <v>1</v>
      </c>
      <c r="G2166" s="2">
        <v>35.76</v>
      </c>
    </row>
    <row r="2167" spans="1:7" x14ac:dyDescent="0.25">
      <c r="A21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241108-LAT004</v>
      </c>
      <c r="B2167" s="1" t="str">
        <f>TEXT(Coffee_sales_clean[[#This Row],[Transaction Date]],"dddd")</f>
        <v>Friday</v>
      </c>
      <c r="C2167" s="12">
        <v>45604</v>
      </c>
      <c r="D2167" s="4">
        <v>0.93552855324074069</v>
      </c>
      <c r="E21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67" t="s">
        <v>0</v>
      </c>
      <c r="G2167" s="2">
        <v>35.76</v>
      </c>
    </row>
    <row r="2168" spans="1:7" x14ac:dyDescent="0.25">
      <c r="A21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241109-MOR001</v>
      </c>
      <c r="B2168" s="1" t="str">
        <f>TEXT(Coffee_sales_clean[[#This Row],[Transaction Date]],"dddd")</f>
        <v>Saturday</v>
      </c>
      <c r="C2168" s="12">
        <v>45605</v>
      </c>
      <c r="D2168" s="4">
        <v>0.42244023148148147</v>
      </c>
      <c r="E21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68" t="s">
        <v>3</v>
      </c>
      <c r="G2168" s="2">
        <v>30.86</v>
      </c>
    </row>
    <row r="2169" spans="1:7" x14ac:dyDescent="0.25">
      <c r="A21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241109-LUN001</v>
      </c>
      <c r="B2169" s="1" t="str">
        <f>TEXT(Coffee_sales_clean[[#This Row],[Transaction Date]],"dddd")</f>
        <v>Saturday</v>
      </c>
      <c r="C2169" s="12">
        <v>45605</v>
      </c>
      <c r="D2169" s="4">
        <v>0.45981482638888888</v>
      </c>
      <c r="E21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69" t="s">
        <v>5</v>
      </c>
      <c r="G2169" s="2">
        <v>25.96</v>
      </c>
    </row>
    <row r="2170" spans="1:7" x14ac:dyDescent="0.25">
      <c r="A21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241109-LUN002</v>
      </c>
      <c r="B2170" s="1" t="str">
        <f>TEXT(Coffee_sales_clean[[#This Row],[Transaction Date]],"dddd")</f>
        <v>Saturday</v>
      </c>
      <c r="C2170" s="12">
        <v>45605</v>
      </c>
      <c r="D2170" s="4">
        <v>0.46042342592592594</v>
      </c>
      <c r="E21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70" t="s">
        <v>5</v>
      </c>
      <c r="G2170" s="2">
        <v>25.96</v>
      </c>
    </row>
    <row r="2171" spans="1:7" x14ac:dyDescent="0.25">
      <c r="A21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241109-LUN003</v>
      </c>
      <c r="B2171" s="1" t="str">
        <f>TEXT(Coffee_sales_clean[[#This Row],[Transaction Date]],"dddd")</f>
        <v>Saturday</v>
      </c>
      <c r="C2171" s="12">
        <v>45605</v>
      </c>
      <c r="D2171" s="4">
        <v>0.4644006828703704</v>
      </c>
      <c r="E21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71" t="s">
        <v>0</v>
      </c>
      <c r="G2171" s="2">
        <v>35.76</v>
      </c>
    </row>
    <row r="2172" spans="1:7" x14ac:dyDescent="0.25">
      <c r="A21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241109-LUN004</v>
      </c>
      <c r="B2172" s="1" t="str">
        <f>TEXT(Coffee_sales_clean[[#This Row],[Transaction Date]],"dddd")</f>
        <v>Saturday</v>
      </c>
      <c r="C2172" s="12">
        <v>45605</v>
      </c>
      <c r="D2172" s="4">
        <v>0.57655878472222222</v>
      </c>
      <c r="E21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72" t="s">
        <v>1</v>
      </c>
      <c r="G2172" s="2">
        <v>35.76</v>
      </c>
    </row>
    <row r="2173" spans="1:7" x14ac:dyDescent="0.25">
      <c r="A21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241109-LUN005</v>
      </c>
      <c r="B2173" s="1" t="str">
        <f>TEXT(Coffee_sales_clean[[#This Row],[Transaction Date]],"dddd")</f>
        <v>Saturday</v>
      </c>
      <c r="C2173" s="12">
        <v>45605</v>
      </c>
      <c r="D2173" s="4">
        <v>0.57702724537037042</v>
      </c>
      <c r="E21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173" t="s">
        <v>1</v>
      </c>
      <c r="G2173" s="2">
        <v>35.76</v>
      </c>
    </row>
    <row r="2174" spans="1:7" x14ac:dyDescent="0.25">
      <c r="A21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241109-AFT001</v>
      </c>
      <c r="B2174" s="1" t="str">
        <f>TEXT(Coffee_sales_clean[[#This Row],[Transaction Date]],"dddd")</f>
        <v>Saturday</v>
      </c>
      <c r="C2174" s="12">
        <v>45605</v>
      </c>
      <c r="D2174" s="4">
        <v>0.59851393518518514</v>
      </c>
      <c r="E21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74" t="s">
        <v>1</v>
      </c>
      <c r="G2174" s="2">
        <v>35.76</v>
      </c>
    </row>
    <row r="2175" spans="1:7" x14ac:dyDescent="0.25">
      <c r="A21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241109-AFT002</v>
      </c>
      <c r="B2175" s="1" t="str">
        <f>TEXT(Coffee_sales_clean[[#This Row],[Transaction Date]],"dddd")</f>
        <v>Saturday</v>
      </c>
      <c r="C2175" s="12">
        <v>45605</v>
      </c>
      <c r="D2175" s="4">
        <v>0.59919490740740744</v>
      </c>
      <c r="E21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75" t="s">
        <v>1</v>
      </c>
      <c r="G2175" s="2">
        <v>35.76</v>
      </c>
    </row>
    <row r="2176" spans="1:7" x14ac:dyDescent="0.25">
      <c r="A21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241109-AFT003</v>
      </c>
      <c r="B2176" s="1" t="str">
        <f>TEXT(Coffee_sales_clean[[#This Row],[Transaction Date]],"dddd")</f>
        <v>Saturday</v>
      </c>
      <c r="C2176" s="12">
        <v>45605</v>
      </c>
      <c r="D2176" s="4">
        <v>0.60941146990740735</v>
      </c>
      <c r="E21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76" t="s">
        <v>2</v>
      </c>
      <c r="G2176" s="2">
        <v>25.96</v>
      </c>
    </row>
    <row r="2177" spans="1:7" x14ac:dyDescent="0.25">
      <c r="A21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241109-AFT004</v>
      </c>
      <c r="B2177" s="1" t="str">
        <f>TEXT(Coffee_sales_clean[[#This Row],[Transaction Date]],"dddd")</f>
        <v>Saturday</v>
      </c>
      <c r="C2177" s="12">
        <v>45605</v>
      </c>
      <c r="D2177" s="4">
        <v>0.64572851851851853</v>
      </c>
      <c r="E21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77" t="s">
        <v>3</v>
      </c>
      <c r="G2177" s="2">
        <v>30.86</v>
      </c>
    </row>
    <row r="2178" spans="1:7" x14ac:dyDescent="0.25">
      <c r="A21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241109-AFT005</v>
      </c>
      <c r="B2178" s="1" t="str">
        <f>TEXT(Coffee_sales_clean[[#This Row],[Transaction Date]],"dddd")</f>
        <v>Saturday</v>
      </c>
      <c r="C2178" s="12">
        <v>45605</v>
      </c>
      <c r="D2178" s="4">
        <v>0.67763706018518521</v>
      </c>
      <c r="E21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78" t="s">
        <v>0</v>
      </c>
      <c r="G2178" s="2">
        <v>35.76</v>
      </c>
    </row>
    <row r="2179" spans="1:7" x14ac:dyDescent="0.25">
      <c r="A21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241109-AFT006</v>
      </c>
      <c r="B2179" s="1" t="str">
        <f>TEXT(Coffee_sales_clean[[#This Row],[Transaction Date]],"dddd")</f>
        <v>Saturday</v>
      </c>
      <c r="C2179" s="12">
        <v>45605</v>
      </c>
      <c r="D2179" s="4">
        <v>0.67838453703703705</v>
      </c>
      <c r="E21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79" t="s">
        <v>4</v>
      </c>
      <c r="G2179" s="2">
        <v>35.76</v>
      </c>
    </row>
    <row r="2180" spans="1:7" x14ac:dyDescent="0.25">
      <c r="A21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241109-LAT001</v>
      </c>
      <c r="B2180" s="1" t="str">
        <f>TEXT(Coffee_sales_clean[[#This Row],[Transaction Date]],"dddd")</f>
        <v>Saturday</v>
      </c>
      <c r="C2180" s="12">
        <v>45605</v>
      </c>
      <c r="D2180" s="4">
        <v>0.86255234953703708</v>
      </c>
      <c r="E21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80" t="s">
        <v>2</v>
      </c>
      <c r="G2180" s="2">
        <v>25.96</v>
      </c>
    </row>
    <row r="2181" spans="1:7" x14ac:dyDescent="0.25">
      <c r="A21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241109-LAT002</v>
      </c>
      <c r="B2181" s="1" t="str">
        <f>TEXT(Coffee_sales_clean[[#This Row],[Transaction Date]],"dddd")</f>
        <v>Saturday</v>
      </c>
      <c r="C2181" s="12">
        <v>45605</v>
      </c>
      <c r="D2181" s="4">
        <v>0.8635131597222222</v>
      </c>
      <c r="E21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81" t="s">
        <v>0</v>
      </c>
      <c r="G2181" s="2">
        <v>35.76</v>
      </c>
    </row>
    <row r="2182" spans="1:7" x14ac:dyDescent="0.25">
      <c r="A21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241109-LAT003</v>
      </c>
      <c r="B2182" s="1" t="str">
        <f>TEXT(Coffee_sales_clean[[#This Row],[Transaction Date]],"dddd")</f>
        <v>Saturday</v>
      </c>
      <c r="C2182" s="12">
        <v>45605</v>
      </c>
      <c r="D2182" s="4">
        <v>0.92601450231481486</v>
      </c>
      <c r="E21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82" t="s">
        <v>4</v>
      </c>
      <c r="G2182" s="2">
        <v>35.76</v>
      </c>
    </row>
    <row r="2183" spans="1:7" x14ac:dyDescent="0.25">
      <c r="A21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241109-LAT004</v>
      </c>
      <c r="B2183" s="1" t="str">
        <f>TEXT(Coffee_sales_clean[[#This Row],[Transaction Date]],"dddd")</f>
        <v>Saturday</v>
      </c>
      <c r="C2183" s="12">
        <v>45605</v>
      </c>
      <c r="D2183" s="4">
        <v>0.95345010416666665</v>
      </c>
      <c r="E21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83" t="s">
        <v>2</v>
      </c>
      <c r="G2183" s="2">
        <v>25.96</v>
      </c>
    </row>
    <row r="2184" spans="1:7" x14ac:dyDescent="0.25">
      <c r="A21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241109-LAT005</v>
      </c>
      <c r="B2184" s="1" t="str">
        <f>TEXT(Coffee_sales_clean[[#This Row],[Transaction Date]],"dddd")</f>
        <v>Saturday</v>
      </c>
      <c r="C2184" s="12">
        <v>45605</v>
      </c>
      <c r="D2184" s="4">
        <v>0.95438781250000004</v>
      </c>
      <c r="E21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84" t="s">
        <v>2</v>
      </c>
      <c r="G2184" s="2">
        <v>25.96</v>
      </c>
    </row>
    <row r="2185" spans="1:7" x14ac:dyDescent="0.25">
      <c r="A21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241110-MOR001</v>
      </c>
      <c r="B2185" s="1" t="str">
        <f>TEXT(Coffee_sales_clean[[#This Row],[Transaction Date]],"dddd")</f>
        <v>Sunday</v>
      </c>
      <c r="C2185" s="12">
        <v>45606</v>
      </c>
      <c r="D2185" s="4">
        <v>0.40719675925925924</v>
      </c>
      <c r="E21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85" t="s">
        <v>2</v>
      </c>
      <c r="G2185" s="2">
        <v>25.96</v>
      </c>
    </row>
    <row r="2186" spans="1:7" x14ac:dyDescent="0.25">
      <c r="A21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241110-EVE001</v>
      </c>
      <c r="B2186" s="1" t="str">
        <f>TEXT(Coffee_sales_clean[[#This Row],[Transaction Date]],"dddd")</f>
        <v>Sunday</v>
      </c>
      <c r="C2186" s="12">
        <v>45606</v>
      </c>
      <c r="D2186" s="4">
        <v>0.74499869212962966</v>
      </c>
      <c r="E21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86" t="s">
        <v>4</v>
      </c>
      <c r="G2186" s="2">
        <v>35.76</v>
      </c>
    </row>
    <row r="2187" spans="1:7" x14ac:dyDescent="0.25">
      <c r="A21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241110-EVE002</v>
      </c>
      <c r="B2187" s="1" t="str">
        <f>TEXT(Coffee_sales_clean[[#This Row],[Transaction Date]],"dddd")</f>
        <v>Sunday</v>
      </c>
      <c r="C2187" s="12">
        <v>45606</v>
      </c>
      <c r="D2187" s="4">
        <v>0.7589509143518518</v>
      </c>
      <c r="E21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87" t="s">
        <v>1</v>
      </c>
      <c r="G2187" s="2">
        <v>35.76</v>
      </c>
    </row>
    <row r="2188" spans="1:7" x14ac:dyDescent="0.25">
      <c r="A21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241110-EVE003</v>
      </c>
      <c r="B2188" s="1" t="str">
        <f>TEXT(Coffee_sales_clean[[#This Row],[Transaction Date]],"dddd")</f>
        <v>Sunday</v>
      </c>
      <c r="C2188" s="12">
        <v>45606</v>
      </c>
      <c r="D2188" s="4">
        <v>0.75976439814814811</v>
      </c>
      <c r="E21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88" t="s">
        <v>1</v>
      </c>
      <c r="G2188" s="2">
        <v>35.76</v>
      </c>
    </row>
    <row r="2189" spans="1:7" x14ac:dyDescent="0.25">
      <c r="A21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241110-LAT001</v>
      </c>
      <c r="B2189" s="1" t="str">
        <f>TEXT(Coffee_sales_clean[[#This Row],[Transaction Date]],"dddd")</f>
        <v>Sunday</v>
      </c>
      <c r="C2189" s="12">
        <v>45606</v>
      </c>
      <c r="D2189" s="4">
        <v>0.85981628472222227</v>
      </c>
      <c r="E21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89" t="s">
        <v>7</v>
      </c>
      <c r="G2189" s="2">
        <v>35.76</v>
      </c>
    </row>
    <row r="2190" spans="1:7" x14ac:dyDescent="0.25">
      <c r="A21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241110-LAT002</v>
      </c>
      <c r="B2190" s="1" t="str">
        <f>TEXT(Coffee_sales_clean[[#This Row],[Transaction Date]],"dddd")</f>
        <v>Sunday</v>
      </c>
      <c r="C2190" s="12">
        <v>45606</v>
      </c>
      <c r="D2190" s="4">
        <v>0.86049590277777777</v>
      </c>
      <c r="E21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90" t="s">
        <v>7</v>
      </c>
      <c r="G2190" s="2">
        <v>35.76</v>
      </c>
    </row>
    <row r="2191" spans="1:7" x14ac:dyDescent="0.25">
      <c r="A21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241111-MOR001</v>
      </c>
      <c r="B2191" s="1" t="str">
        <f>TEXT(Coffee_sales_clean[[#This Row],[Transaction Date]],"dddd")</f>
        <v>Monday</v>
      </c>
      <c r="C2191" s="12">
        <v>45607</v>
      </c>
      <c r="D2191" s="4">
        <v>0.32531023148148147</v>
      </c>
      <c r="E21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91" t="s">
        <v>7</v>
      </c>
      <c r="G2191" s="2">
        <v>35.76</v>
      </c>
    </row>
    <row r="2192" spans="1:7" x14ac:dyDescent="0.25">
      <c r="A21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241111-MOR002</v>
      </c>
      <c r="B2192" s="1" t="str">
        <f>TEXT(Coffee_sales_clean[[#This Row],[Transaction Date]],"dddd")</f>
        <v>Monday</v>
      </c>
      <c r="C2192" s="12">
        <v>45607</v>
      </c>
      <c r="D2192" s="4">
        <v>0.41140952546296294</v>
      </c>
      <c r="E21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92" t="s">
        <v>3</v>
      </c>
      <c r="G2192" s="2">
        <v>30.86</v>
      </c>
    </row>
    <row r="2193" spans="1:7" x14ac:dyDescent="0.25">
      <c r="A21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241111-MOR003</v>
      </c>
      <c r="B2193" s="1" t="str">
        <f>TEXT(Coffee_sales_clean[[#This Row],[Transaction Date]],"dddd")</f>
        <v>Monday</v>
      </c>
      <c r="C2193" s="12">
        <v>45607</v>
      </c>
      <c r="D2193" s="4">
        <v>0.42997106481481484</v>
      </c>
      <c r="E21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193" t="s">
        <v>5</v>
      </c>
      <c r="G2193" s="2">
        <v>25.96</v>
      </c>
    </row>
    <row r="2194" spans="1:7" x14ac:dyDescent="0.25">
      <c r="A21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241111-AFT001</v>
      </c>
      <c r="B2194" s="1" t="str">
        <f>TEXT(Coffee_sales_clean[[#This Row],[Transaction Date]],"dddd")</f>
        <v>Monday</v>
      </c>
      <c r="C2194" s="12">
        <v>45607</v>
      </c>
      <c r="D2194" s="4">
        <v>0.67967592592592596</v>
      </c>
      <c r="E21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94" t="s">
        <v>7</v>
      </c>
      <c r="G2194" s="2">
        <v>35.76</v>
      </c>
    </row>
    <row r="2195" spans="1:7" x14ac:dyDescent="0.25">
      <c r="A21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241111-AFT002</v>
      </c>
      <c r="B2195" s="1" t="str">
        <f>TEXT(Coffee_sales_clean[[#This Row],[Transaction Date]],"dddd")</f>
        <v>Monday</v>
      </c>
      <c r="C2195" s="12">
        <v>45607</v>
      </c>
      <c r="D2195" s="4">
        <v>0.68047068287037038</v>
      </c>
      <c r="E21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195" t="s">
        <v>1</v>
      </c>
      <c r="G2195" s="2">
        <v>35.76</v>
      </c>
    </row>
    <row r="2196" spans="1:7" x14ac:dyDescent="0.25">
      <c r="A21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241111-EVE001</v>
      </c>
      <c r="B2196" s="1" t="str">
        <f>TEXT(Coffee_sales_clean[[#This Row],[Transaction Date]],"dddd")</f>
        <v>Monday</v>
      </c>
      <c r="C2196" s="12">
        <v>45607</v>
      </c>
      <c r="D2196" s="4">
        <v>0.73162098379629625</v>
      </c>
      <c r="E21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96" t="s">
        <v>7</v>
      </c>
      <c r="G2196" s="2">
        <v>35.76</v>
      </c>
    </row>
    <row r="2197" spans="1:7" x14ac:dyDescent="0.25">
      <c r="A21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241111-EVE002</v>
      </c>
      <c r="B2197" s="1" t="str">
        <f>TEXT(Coffee_sales_clean[[#This Row],[Transaction Date]],"dddd")</f>
        <v>Monday</v>
      </c>
      <c r="C2197" s="12">
        <v>45607</v>
      </c>
      <c r="D2197" s="4">
        <v>0.79220960648148153</v>
      </c>
      <c r="E21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97" t="s">
        <v>0</v>
      </c>
      <c r="G2197" s="2">
        <v>35.76</v>
      </c>
    </row>
    <row r="2198" spans="1:7" x14ac:dyDescent="0.25">
      <c r="A21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241111-EVE003</v>
      </c>
      <c r="B2198" s="1" t="str">
        <f>TEXT(Coffee_sales_clean[[#This Row],[Transaction Date]],"dddd")</f>
        <v>Monday</v>
      </c>
      <c r="C2198" s="12">
        <v>45607</v>
      </c>
      <c r="D2198" s="4">
        <v>0.79462416666666669</v>
      </c>
      <c r="E21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198" t="s">
        <v>1</v>
      </c>
      <c r="G2198" s="2">
        <v>35.76</v>
      </c>
    </row>
    <row r="2199" spans="1:7" x14ac:dyDescent="0.25">
      <c r="A21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241111-LAT001</v>
      </c>
      <c r="B2199" s="1" t="str">
        <f>TEXT(Coffee_sales_clean[[#This Row],[Transaction Date]],"dddd")</f>
        <v>Monday</v>
      </c>
      <c r="C2199" s="12">
        <v>45607</v>
      </c>
      <c r="D2199" s="4">
        <v>0.88092223379629631</v>
      </c>
      <c r="E21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199" t="s">
        <v>0</v>
      </c>
      <c r="G2199" s="2">
        <v>35.76</v>
      </c>
    </row>
    <row r="2200" spans="1:7" x14ac:dyDescent="0.25">
      <c r="A22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241111-LAT002</v>
      </c>
      <c r="B2200" s="1" t="str">
        <f>TEXT(Coffee_sales_clean[[#This Row],[Transaction Date]],"dddd")</f>
        <v>Monday</v>
      </c>
      <c r="C2200" s="12">
        <v>45607</v>
      </c>
      <c r="D2200" s="4">
        <v>0.88179343750000005</v>
      </c>
      <c r="E22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200" t="s">
        <v>0</v>
      </c>
      <c r="G2200" s="2">
        <v>35.76</v>
      </c>
    </row>
    <row r="2201" spans="1:7" x14ac:dyDescent="0.25">
      <c r="A22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241112-MOR001</v>
      </c>
      <c r="B2201" s="1" t="str">
        <f>TEXT(Coffee_sales_clean[[#This Row],[Transaction Date]],"dddd")</f>
        <v>Tuesday</v>
      </c>
      <c r="C2201" s="12">
        <v>45608</v>
      </c>
      <c r="D2201" s="4">
        <v>0.41884921296296296</v>
      </c>
      <c r="E22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01" t="s">
        <v>0</v>
      </c>
      <c r="G2201" s="2">
        <v>35.76</v>
      </c>
    </row>
    <row r="2202" spans="1:7" x14ac:dyDescent="0.25">
      <c r="A22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241112-LUN001</v>
      </c>
      <c r="B2202" s="1" t="str">
        <f>TEXT(Coffee_sales_clean[[#This Row],[Transaction Date]],"dddd")</f>
        <v>Tuesday</v>
      </c>
      <c r="C2202" s="12">
        <v>45608</v>
      </c>
      <c r="D2202" s="4">
        <v>0.55260872685185181</v>
      </c>
      <c r="E22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02" t="s">
        <v>0</v>
      </c>
      <c r="G2202" s="2">
        <v>35.76</v>
      </c>
    </row>
    <row r="2203" spans="1:7" x14ac:dyDescent="0.25">
      <c r="A22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241112-AFT001</v>
      </c>
      <c r="B2203" s="1" t="str">
        <f>TEXT(Coffee_sales_clean[[#This Row],[Transaction Date]],"dddd")</f>
        <v>Tuesday</v>
      </c>
      <c r="C2203" s="12">
        <v>45608</v>
      </c>
      <c r="D2203" s="4">
        <v>0.61058898148148144</v>
      </c>
      <c r="E22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03" t="s">
        <v>0</v>
      </c>
      <c r="G2203" s="2">
        <v>35.76</v>
      </c>
    </row>
    <row r="2204" spans="1:7" x14ac:dyDescent="0.25">
      <c r="A22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241112-AFT002</v>
      </c>
      <c r="B2204" s="1" t="str">
        <f>TEXT(Coffee_sales_clean[[#This Row],[Transaction Date]],"dddd")</f>
        <v>Tuesday</v>
      </c>
      <c r="C2204" s="12">
        <v>45608</v>
      </c>
      <c r="D2204" s="4">
        <v>0.69947180555555555</v>
      </c>
      <c r="E22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04" t="s">
        <v>1</v>
      </c>
      <c r="G2204" s="2">
        <v>35.76</v>
      </c>
    </row>
    <row r="2205" spans="1:7" x14ac:dyDescent="0.25">
      <c r="A22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241112-AFT003</v>
      </c>
      <c r="B2205" s="1" t="str">
        <f>TEXT(Coffee_sales_clean[[#This Row],[Transaction Date]],"dddd")</f>
        <v>Tuesday</v>
      </c>
      <c r="C2205" s="12">
        <v>45608</v>
      </c>
      <c r="D2205" s="4">
        <v>0.70005668981481484</v>
      </c>
      <c r="E22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05" t="s">
        <v>1</v>
      </c>
      <c r="G2205" s="2">
        <v>35.76</v>
      </c>
    </row>
    <row r="2206" spans="1:7" x14ac:dyDescent="0.25">
      <c r="A22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241112-AFT004</v>
      </c>
      <c r="B2206" s="1" t="str">
        <f>TEXT(Coffee_sales_clean[[#This Row],[Transaction Date]],"dddd")</f>
        <v>Tuesday</v>
      </c>
      <c r="C2206" s="12">
        <v>45608</v>
      </c>
      <c r="D2206" s="4">
        <v>0.70073986111111108</v>
      </c>
      <c r="E22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06" t="s">
        <v>4</v>
      </c>
      <c r="G2206" s="2">
        <v>35.76</v>
      </c>
    </row>
    <row r="2207" spans="1:7" x14ac:dyDescent="0.25">
      <c r="A22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241112-EVE001</v>
      </c>
      <c r="B2207" s="1" t="str">
        <f>TEXT(Coffee_sales_clean[[#This Row],[Transaction Date]],"dddd")</f>
        <v>Tuesday</v>
      </c>
      <c r="C2207" s="12">
        <v>45608</v>
      </c>
      <c r="D2207" s="4">
        <v>0.78141600694444446</v>
      </c>
      <c r="E22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07" t="s">
        <v>7</v>
      </c>
      <c r="G2207" s="2">
        <v>35.76</v>
      </c>
    </row>
    <row r="2208" spans="1:7" x14ac:dyDescent="0.25">
      <c r="A22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241112-LAT001</v>
      </c>
      <c r="B2208" s="1" t="str">
        <f>TEXT(Coffee_sales_clean[[#This Row],[Transaction Date]],"dddd")</f>
        <v>Tuesday</v>
      </c>
      <c r="C2208" s="12">
        <v>45608</v>
      </c>
      <c r="D2208" s="4">
        <v>0.83886361111111107</v>
      </c>
      <c r="E22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208" t="s">
        <v>0</v>
      </c>
      <c r="G2208" s="2">
        <v>35.76</v>
      </c>
    </row>
    <row r="2209" spans="1:7" x14ac:dyDescent="0.25">
      <c r="A22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241112-LAT002</v>
      </c>
      <c r="B2209" s="1" t="str">
        <f>TEXT(Coffee_sales_clean[[#This Row],[Transaction Date]],"dddd")</f>
        <v>Tuesday</v>
      </c>
      <c r="C2209" s="12">
        <v>45608</v>
      </c>
      <c r="D2209" s="4">
        <v>0.83983568287037036</v>
      </c>
      <c r="E22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209" t="s">
        <v>4</v>
      </c>
      <c r="G2209" s="2">
        <v>35.76</v>
      </c>
    </row>
    <row r="2210" spans="1:7" x14ac:dyDescent="0.25">
      <c r="A22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241113-MOR001</v>
      </c>
      <c r="B2210" s="1" t="str">
        <f>TEXT(Coffee_sales_clean[[#This Row],[Transaction Date]],"dddd")</f>
        <v>Wednesday</v>
      </c>
      <c r="C2210" s="12">
        <v>45609</v>
      </c>
      <c r="D2210" s="4">
        <v>0.33970893518518519</v>
      </c>
      <c r="E22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10" t="s">
        <v>3</v>
      </c>
      <c r="G2210" s="2">
        <v>30.86</v>
      </c>
    </row>
    <row r="2211" spans="1:7" x14ac:dyDescent="0.25">
      <c r="A22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241113-MOR002</v>
      </c>
      <c r="B2211" s="1" t="str">
        <f>TEXT(Coffee_sales_clean[[#This Row],[Transaction Date]],"dddd")</f>
        <v>Wednesday</v>
      </c>
      <c r="C2211" s="12">
        <v>45609</v>
      </c>
      <c r="D2211" s="4">
        <v>0.44286171296296295</v>
      </c>
      <c r="E22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11" t="s">
        <v>0</v>
      </c>
      <c r="G2211" s="2">
        <v>35.76</v>
      </c>
    </row>
    <row r="2212" spans="1:7" x14ac:dyDescent="0.25">
      <c r="A22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241113-LUN001</v>
      </c>
      <c r="B2212" s="1" t="str">
        <f>TEXT(Coffee_sales_clean[[#This Row],[Transaction Date]],"dddd")</f>
        <v>Wednesday</v>
      </c>
      <c r="C2212" s="12">
        <v>45609</v>
      </c>
      <c r="D2212" s="4">
        <v>0.55549270833333331</v>
      </c>
      <c r="E22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12" t="s">
        <v>3</v>
      </c>
      <c r="G2212" s="2">
        <v>30.86</v>
      </c>
    </row>
    <row r="2213" spans="1:7" x14ac:dyDescent="0.25">
      <c r="A22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241113-LUN002</v>
      </c>
      <c r="B2213" s="1" t="str">
        <f>TEXT(Coffee_sales_clean[[#This Row],[Transaction Date]],"dddd")</f>
        <v>Wednesday</v>
      </c>
      <c r="C2213" s="12">
        <v>45609</v>
      </c>
      <c r="D2213" s="4">
        <v>0.55623237268518522</v>
      </c>
      <c r="E22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13" t="s">
        <v>3</v>
      </c>
      <c r="G2213" s="2">
        <v>30.86</v>
      </c>
    </row>
    <row r="2214" spans="1:7" x14ac:dyDescent="0.25">
      <c r="A22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241113-AFT001</v>
      </c>
      <c r="B2214" s="1" t="str">
        <f>TEXT(Coffee_sales_clean[[#This Row],[Transaction Date]],"dddd")</f>
        <v>Wednesday</v>
      </c>
      <c r="C2214" s="12">
        <v>45609</v>
      </c>
      <c r="D2214" s="4">
        <v>0.59548888888888885</v>
      </c>
      <c r="E22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14" t="s">
        <v>3</v>
      </c>
      <c r="G2214" s="2">
        <v>30.86</v>
      </c>
    </row>
    <row r="2215" spans="1:7" x14ac:dyDescent="0.25">
      <c r="A22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241113-AFT002</v>
      </c>
      <c r="B2215" s="1" t="str">
        <f>TEXT(Coffee_sales_clean[[#This Row],[Transaction Date]],"dddd")</f>
        <v>Wednesday</v>
      </c>
      <c r="C2215" s="12">
        <v>45609</v>
      </c>
      <c r="D2215" s="4">
        <v>0.61595348379629633</v>
      </c>
      <c r="E22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15" t="s">
        <v>0</v>
      </c>
      <c r="G2215" s="2">
        <v>35.76</v>
      </c>
    </row>
    <row r="2216" spans="1:7" x14ac:dyDescent="0.25">
      <c r="A22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241114-MOR001</v>
      </c>
      <c r="B2216" s="1" t="str">
        <f>TEXT(Coffee_sales_clean[[#This Row],[Transaction Date]],"dddd")</f>
        <v>Thursday</v>
      </c>
      <c r="C2216" s="12">
        <v>45610</v>
      </c>
      <c r="D2216" s="4">
        <v>0.40032150462962962</v>
      </c>
      <c r="E22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16" t="s">
        <v>0</v>
      </c>
      <c r="G2216" s="2">
        <v>35.76</v>
      </c>
    </row>
    <row r="2217" spans="1:7" x14ac:dyDescent="0.25">
      <c r="A22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241114-MOR002</v>
      </c>
      <c r="B2217" s="1" t="str">
        <f>TEXT(Coffee_sales_clean[[#This Row],[Transaction Date]],"dddd")</f>
        <v>Thursday</v>
      </c>
      <c r="C2217" s="12">
        <v>45610</v>
      </c>
      <c r="D2217" s="4">
        <v>0.42132731481481484</v>
      </c>
      <c r="E22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17" t="s">
        <v>2</v>
      </c>
      <c r="G2217" s="2">
        <v>25.96</v>
      </c>
    </row>
    <row r="2218" spans="1:7" x14ac:dyDescent="0.25">
      <c r="A22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241114-LUN001</v>
      </c>
      <c r="B2218" s="1" t="str">
        <f>TEXT(Coffee_sales_clean[[#This Row],[Transaction Date]],"dddd")</f>
        <v>Thursday</v>
      </c>
      <c r="C2218" s="12">
        <v>45610</v>
      </c>
      <c r="D2218" s="4">
        <v>0.53391758101851849</v>
      </c>
      <c r="E22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18" t="s">
        <v>6</v>
      </c>
      <c r="G2218" s="2">
        <v>21.06</v>
      </c>
    </row>
    <row r="2219" spans="1:7" x14ac:dyDescent="0.25">
      <c r="A22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241114-AFT001</v>
      </c>
      <c r="B2219" s="1" t="str">
        <f>TEXT(Coffee_sales_clean[[#This Row],[Transaction Date]],"dddd")</f>
        <v>Thursday</v>
      </c>
      <c r="C2219" s="12">
        <v>45610</v>
      </c>
      <c r="D2219" s="4">
        <v>0.62760894675925927</v>
      </c>
      <c r="E22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19" t="s">
        <v>7</v>
      </c>
      <c r="G2219" s="2">
        <v>35.76</v>
      </c>
    </row>
    <row r="2220" spans="1:7" x14ac:dyDescent="0.25">
      <c r="A22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241114-AFT002</v>
      </c>
      <c r="B2220" s="1" t="str">
        <f>TEXT(Coffee_sales_clean[[#This Row],[Transaction Date]],"dddd")</f>
        <v>Thursday</v>
      </c>
      <c r="C2220" s="12">
        <v>45610</v>
      </c>
      <c r="D2220" s="4">
        <v>0.62843459490740738</v>
      </c>
      <c r="E22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20" t="s">
        <v>0</v>
      </c>
      <c r="G2220" s="2">
        <v>35.76</v>
      </c>
    </row>
    <row r="2221" spans="1:7" x14ac:dyDescent="0.25">
      <c r="A22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241114-AFT003</v>
      </c>
      <c r="B2221" s="1" t="str">
        <f>TEXT(Coffee_sales_clean[[#This Row],[Transaction Date]],"dddd")</f>
        <v>Thursday</v>
      </c>
      <c r="C2221" s="12">
        <v>45610</v>
      </c>
      <c r="D2221" s="4">
        <v>0.62904853009259254</v>
      </c>
      <c r="E22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21" t="s">
        <v>7</v>
      </c>
      <c r="G2221" s="2">
        <v>35.76</v>
      </c>
    </row>
    <row r="2222" spans="1:7" x14ac:dyDescent="0.25">
      <c r="A22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241114-AFT004</v>
      </c>
      <c r="B2222" s="1" t="str">
        <f>TEXT(Coffee_sales_clean[[#This Row],[Transaction Date]],"dddd")</f>
        <v>Thursday</v>
      </c>
      <c r="C2222" s="12">
        <v>45610</v>
      </c>
      <c r="D2222" s="4">
        <v>0.67579061342592595</v>
      </c>
      <c r="E22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22" t="s">
        <v>3</v>
      </c>
      <c r="G2222" s="2">
        <v>30.86</v>
      </c>
    </row>
    <row r="2223" spans="1:7" x14ac:dyDescent="0.25">
      <c r="A22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241114-AFT005</v>
      </c>
      <c r="B2223" s="1" t="str">
        <f>TEXT(Coffee_sales_clean[[#This Row],[Transaction Date]],"dddd")</f>
        <v>Thursday</v>
      </c>
      <c r="C2223" s="12">
        <v>45610</v>
      </c>
      <c r="D2223" s="4">
        <v>0.67663837962962958</v>
      </c>
      <c r="E22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23" t="s">
        <v>7</v>
      </c>
      <c r="G2223" s="2">
        <v>35.76</v>
      </c>
    </row>
    <row r="2224" spans="1:7" x14ac:dyDescent="0.25">
      <c r="A22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241114-EVE001</v>
      </c>
      <c r="B2224" s="1" t="str">
        <f>TEXT(Coffee_sales_clean[[#This Row],[Transaction Date]],"dddd")</f>
        <v>Thursday</v>
      </c>
      <c r="C2224" s="12">
        <v>45610</v>
      </c>
      <c r="D2224" s="4">
        <v>0.82183442129629625</v>
      </c>
      <c r="E22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24" t="s">
        <v>1</v>
      </c>
      <c r="G2224" s="2">
        <v>35.76</v>
      </c>
    </row>
    <row r="2225" spans="1:7" x14ac:dyDescent="0.25">
      <c r="A22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241114-EVE002</v>
      </c>
      <c r="B2225" s="1" t="str">
        <f>TEXT(Coffee_sales_clean[[#This Row],[Transaction Date]],"dddd")</f>
        <v>Thursday</v>
      </c>
      <c r="C2225" s="12">
        <v>45610</v>
      </c>
      <c r="D2225" s="4">
        <v>0.82404096064814814</v>
      </c>
      <c r="E22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25" t="s">
        <v>1</v>
      </c>
      <c r="G2225" s="2">
        <v>35.76</v>
      </c>
    </row>
    <row r="2226" spans="1:7" x14ac:dyDescent="0.25">
      <c r="A22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241114-LAT001</v>
      </c>
      <c r="B2226" s="1" t="str">
        <f>TEXT(Coffee_sales_clean[[#This Row],[Transaction Date]],"dddd")</f>
        <v>Thursday</v>
      </c>
      <c r="C2226" s="12">
        <v>45610</v>
      </c>
      <c r="D2226" s="4">
        <v>0.85520864583333334</v>
      </c>
      <c r="E22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226" t="s">
        <v>4</v>
      </c>
      <c r="G2226" s="2">
        <v>35.76</v>
      </c>
    </row>
    <row r="2227" spans="1:7" x14ac:dyDescent="0.25">
      <c r="A22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241114-LAT002</v>
      </c>
      <c r="B2227" s="1" t="str">
        <f>TEXT(Coffee_sales_clean[[#This Row],[Transaction Date]],"dddd")</f>
        <v>Thursday</v>
      </c>
      <c r="C2227" s="12">
        <v>45610</v>
      </c>
      <c r="D2227" s="4">
        <v>0.85590914351851854</v>
      </c>
      <c r="E22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227" t="s">
        <v>1</v>
      </c>
      <c r="G2227" s="2">
        <v>35.76</v>
      </c>
    </row>
    <row r="2228" spans="1:7" x14ac:dyDescent="0.25">
      <c r="A22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241114-LAT003</v>
      </c>
      <c r="B2228" s="1" t="str">
        <f>TEXT(Coffee_sales_clean[[#This Row],[Transaction Date]],"dddd")</f>
        <v>Thursday</v>
      </c>
      <c r="C2228" s="12">
        <v>45610</v>
      </c>
      <c r="D2228" s="4">
        <v>0.8920322453703704</v>
      </c>
      <c r="E22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228" t="s">
        <v>0</v>
      </c>
      <c r="G2228" s="2">
        <v>35.76</v>
      </c>
    </row>
    <row r="2229" spans="1:7" x14ac:dyDescent="0.25">
      <c r="A22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241114-LAT004</v>
      </c>
      <c r="B2229" s="1" t="str">
        <f>TEXT(Coffee_sales_clean[[#This Row],[Transaction Date]],"dddd")</f>
        <v>Thursday</v>
      </c>
      <c r="C2229" s="12">
        <v>45610</v>
      </c>
      <c r="D2229" s="4">
        <v>0.94493457175925921</v>
      </c>
      <c r="E22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229" t="s">
        <v>0</v>
      </c>
      <c r="G2229" s="2">
        <v>35.76</v>
      </c>
    </row>
    <row r="2230" spans="1:7" x14ac:dyDescent="0.25">
      <c r="A22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241115-MOR001</v>
      </c>
      <c r="B2230" s="1" t="str">
        <f>TEXT(Coffee_sales_clean[[#This Row],[Transaction Date]],"dddd")</f>
        <v>Friday</v>
      </c>
      <c r="C2230" s="12">
        <v>45611</v>
      </c>
      <c r="D2230" s="4">
        <v>0.36517521990740742</v>
      </c>
      <c r="E22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30" t="s">
        <v>3</v>
      </c>
      <c r="G2230" s="2">
        <v>30.86</v>
      </c>
    </row>
    <row r="2231" spans="1:7" x14ac:dyDescent="0.25">
      <c r="A22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241115-LUN001</v>
      </c>
      <c r="B2231" s="1" t="str">
        <f>TEXT(Coffee_sales_clean[[#This Row],[Transaction Date]],"dddd")</f>
        <v>Friday</v>
      </c>
      <c r="C2231" s="12">
        <v>45611</v>
      </c>
      <c r="D2231" s="4">
        <v>0.46241938657407405</v>
      </c>
      <c r="E22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31" t="s">
        <v>3</v>
      </c>
      <c r="G2231" s="2">
        <v>30.86</v>
      </c>
    </row>
    <row r="2232" spans="1:7" x14ac:dyDescent="0.25">
      <c r="A22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241115-LUN002</v>
      </c>
      <c r="B2232" s="1" t="str">
        <f>TEXT(Coffee_sales_clean[[#This Row],[Transaction Date]],"dddd")</f>
        <v>Friday</v>
      </c>
      <c r="C2232" s="12">
        <v>45611</v>
      </c>
      <c r="D2232" s="4">
        <v>0.50625532407407403</v>
      </c>
      <c r="E22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32" t="s">
        <v>4</v>
      </c>
      <c r="G2232" s="2">
        <v>35.76</v>
      </c>
    </row>
    <row r="2233" spans="1:7" x14ac:dyDescent="0.25">
      <c r="A22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241115-LUN003</v>
      </c>
      <c r="B2233" s="1" t="str">
        <f>TEXT(Coffee_sales_clean[[#This Row],[Transaction Date]],"dddd")</f>
        <v>Friday</v>
      </c>
      <c r="C2233" s="12">
        <v>45611</v>
      </c>
      <c r="D2233" s="4">
        <v>0.50993693287037034</v>
      </c>
      <c r="E22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33" t="s">
        <v>4</v>
      </c>
      <c r="G2233" s="2">
        <v>35.76</v>
      </c>
    </row>
    <row r="2234" spans="1:7" x14ac:dyDescent="0.25">
      <c r="A22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241115-LUN004</v>
      </c>
      <c r="B2234" s="1" t="str">
        <f>TEXT(Coffee_sales_clean[[#This Row],[Transaction Date]],"dddd")</f>
        <v>Friday</v>
      </c>
      <c r="C2234" s="12">
        <v>45611</v>
      </c>
      <c r="D2234" s="4">
        <v>0.5816422916666667</v>
      </c>
      <c r="E22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34" t="s">
        <v>0</v>
      </c>
      <c r="G2234" s="2">
        <v>35.76</v>
      </c>
    </row>
    <row r="2235" spans="1:7" x14ac:dyDescent="0.25">
      <c r="A22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241115-AFT001</v>
      </c>
      <c r="B2235" s="1" t="str">
        <f>TEXT(Coffee_sales_clean[[#This Row],[Transaction Date]],"dddd")</f>
        <v>Friday</v>
      </c>
      <c r="C2235" s="12">
        <v>45611</v>
      </c>
      <c r="D2235" s="4">
        <v>0.63878046296296298</v>
      </c>
      <c r="E22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35" t="s">
        <v>2</v>
      </c>
      <c r="G2235" s="2">
        <v>25.96</v>
      </c>
    </row>
    <row r="2236" spans="1:7" x14ac:dyDescent="0.25">
      <c r="A22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241115-EVE001</v>
      </c>
      <c r="B2236" s="1" t="str">
        <f>TEXT(Coffee_sales_clean[[#This Row],[Transaction Date]],"dddd")</f>
        <v>Friday</v>
      </c>
      <c r="C2236" s="12">
        <v>45611</v>
      </c>
      <c r="D2236" s="4">
        <v>0.73311403935185182</v>
      </c>
      <c r="E22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36" t="s">
        <v>3</v>
      </c>
      <c r="G2236" s="2">
        <v>30.86</v>
      </c>
    </row>
    <row r="2237" spans="1:7" x14ac:dyDescent="0.25">
      <c r="A22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241115-EVE002</v>
      </c>
      <c r="B2237" s="1" t="str">
        <f>TEXT(Coffee_sales_clean[[#This Row],[Transaction Date]],"dddd")</f>
        <v>Friday</v>
      </c>
      <c r="C2237" s="12">
        <v>45611</v>
      </c>
      <c r="D2237" s="4">
        <v>0.74654498842592587</v>
      </c>
      <c r="E22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37" t="s">
        <v>0</v>
      </c>
      <c r="G2237" s="2">
        <v>35.76</v>
      </c>
    </row>
    <row r="2238" spans="1:7" x14ac:dyDescent="0.25">
      <c r="A22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241115-EVE003</v>
      </c>
      <c r="B2238" s="1" t="str">
        <f>TEXT(Coffee_sales_clean[[#This Row],[Transaction Date]],"dddd")</f>
        <v>Friday</v>
      </c>
      <c r="C2238" s="12">
        <v>45611</v>
      </c>
      <c r="D2238" s="4">
        <v>0.75885336805555559</v>
      </c>
      <c r="E22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38" t="s">
        <v>1</v>
      </c>
      <c r="G2238" s="2">
        <v>35.76</v>
      </c>
    </row>
    <row r="2239" spans="1:7" x14ac:dyDescent="0.25">
      <c r="A22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241115-EVE004</v>
      </c>
      <c r="B2239" s="1" t="str">
        <f>TEXT(Coffee_sales_clean[[#This Row],[Transaction Date]],"dddd")</f>
        <v>Friday</v>
      </c>
      <c r="C2239" s="12">
        <v>45611</v>
      </c>
      <c r="D2239" s="4">
        <v>0.77942048611111114</v>
      </c>
      <c r="E22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39" t="s">
        <v>3</v>
      </c>
      <c r="G2239" s="2">
        <v>30.86</v>
      </c>
    </row>
    <row r="2240" spans="1:7" x14ac:dyDescent="0.25">
      <c r="A22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241115-EVE005</v>
      </c>
      <c r="B2240" s="1" t="str">
        <f>TEXT(Coffee_sales_clean[[#This Row],[Transaction Date]],"dddd")</f>
        <v>Friday</v>
      </c>
      <c r="C2240" s="12">
        <v>45611</v>
      </c>
      <c r="D2240" s="4">
        <v>0.78010601851851857</v>
      </c>
      <c r="E22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40" t="s">
        <v>3</v>
      </c>
      <c r="G2240" s="2">
        <v>30.86</v>
      </c>
    </row>
    <row r="2241" spans="1:7" x14ac:dyDescent="0.25">
      <c r="A22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241116-MOR001</v>
      </c>
      <c r="B2241" s="1" t="str">
        <f>TEXT(Coffee_sales_clean[[#This Row],[Transaction Date]],"dddd")</f>
        <v>Saturday</v>
      </c>
      <c r="C2241" s="12">
        <v>45612</v>
      </c>
      <c r="D2241" s="4">
        <v>0.43165358796296294</v>
      </c>
      <c r="E22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41" t="s">
        <v>5</v>
      </c>
      <c r="G2241" s="2">
        <v>25.96</v>
      </c>
    </row>
    <row r="2242" spans="1:7" x14ac:dyDescent="0.25">
      <c r="A22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241116-MOR002</v>
      </c>
      <c r="B2242" s="1" t="str">
        <f>TEXT(Coffee_sales_clean[[#This Row],[Transaction Date]],"dddd")</f>
        <v>Saturday</v>
      </c>
      <c r="C2242" s="12">
        <v>45612</v>
      </c>
      <c r="D2242" s="4">
        <v>0.44851134259259257</v>
      </c>
      <c r="E22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42" t="s">
        <v>5</v>
      </c>
      <c r="G2242" s="2">
        <v>25.96</v>
      </c>
    </row>
    <row r="2243" spans="1:7" x14ac:dyDescent="0.25">
      <c r="A22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241116-LUN001</v>
      </c>
      <c r="B2243" s="1" t="str">
        <f>TEXT(Coffee_sales_clean[[#This Row],[Transaction Date]],"dddd")</f>
        <v>Saturday</v>
      </c>
      <c r="C2243" s="12">
        <v>45612</v>
      </c>
      <c r="D2243" s="4">
        <v>0.45973085648148149</v>
      </c>
      <c r="E22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43" t="s">
        <v>1</v>
      </c>
      <c r="G2243" s="2">
        <v>35.76</v>
      </c>
    </row>
    <row r="2244" spans="1:7" x14ac:dyDescent="0.25">
      <c r="A22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241116-LUN002</v>
      </c>
      <c r="B2244" s="1" t="str">
        <f>TEXT(Coffee_sales_clean[[#This Row],[Transaction Date]],"dddd")</f>
        <v>Saturday</v>
      </c>
      <c r="C2244" s="12">
        <v>45612</v>
      </c>
      <c r="D2244" s="4">
        <v>0.46049276620370372</v>
      </c>
      <c r="E22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44" t="s">
        <v>0</v>
      </c>
      <c r="G2244" s="2">
        <v>35.76</v>
      </c>
    </row>
    <row r="2245" spans="1:7" x14ac:dyDescent="0.25">
      <c r="A22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241116-LUN003</v>
      </c>
      <c r="B2245" s="1" t="str">
        <f>TEXT(Coffee_sales_clean[[#This Row],[Transaction Date]],"dddd")</f>
        <v>Saturday</v>
      </c>
      <c r="C2245" s="12">
        <v>45612</v>
      </c>
      <c r="D2245" s="4">
        <v>0.48570570601851853</v>
      </c>
      <c r="E22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45" t="s">
        <v>2</v>
      </c>
      <c r="G2245" s="2">
        <v>25.96</v>
      </c>
    </row>
    <row r="2246" spans="1:7" x14ac:dyDescent="0.25">
      <c r="A22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241116-LUN004</v>
      </c>
      <c r="B2246" s="1" t="str">
        <f>TEXT(Coffee_sales_clean[[#This Row],[Transaction Date]],"dddd")</f>
        <v>Saturday</v>
      </c>
      <c r="C2246" s="12">
        <v>45612</v>
      </c>
      <c r="D2246" s="4">
        <v>0.52100675925925921</v>
      </c>
      <c r="E22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46" t="s">
        <v>7</v>
      </c>
      <c r="G2246" s="2">
        <v>35.76</v>
      </c>
    </row>
    <row r="2247" spans="1:7" x14ac:dyDescent="0.25">
      <c r="A22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241116-LUN005</v>
      </c>
      <c r="B2247" s="1" t="str">
        <f>TEXT(Coffee_sales_clean[[#This Row],[Transaction Date]],"dddd")</f>
        <v>Saturday</v>
      </c>
      <c r="C2247" s="12">
        <v>45612</v>
      </c>
      <c r="D2247" s="4">
        <v>0.5221129166666667</v>
      </c>
      <c r="E22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47" t="s">
        <v>3</v>
      </c>
      <c r="G2247" s="2">
        <v>30.86</v>
      </c>
    </row>
    <row r="2248" spans="1:7" x14ac:dyDescent="0.25">
      <c r="A22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241116-LUN006</v>
      </c>
      <c r="B2248" s="1" t="str">
        <f>TEXT(Coffee_sales_clean[[#This Row],[Transaction Date]],"dddd")</f>
        <v>Saturday</v>
      </c>
      <c r="C2248" s="12">
        <v>45612</v>
      </c>
      <c r="D2248" s="4">
        <v>0.53374821759259261</v>
      </c>
      <c r="E22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48" t="s">
        <v>0</v>
      </c>
      <c r="G2248" s="2">
        <v>35.76</v>
      </c>
    </row>
    <row r="2249" spans="1:7" x14ac:dyDescent="0.25">
      <c r="A22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241116-LUN007</v>
      </c>
      <c r="B2249" s="1" t="str">
        <f>TEXT(Coffee_sales_clean[[#This Row],[Transaction Date]],"dddd")</f>
        <v>Saturday</v>
      </c>
      <c r="C2249" s="12">
        <v>45612</v>
      </c>
      <c r="D2249" s="4">
        <v>0.53443434027777781</v>
      </c>
      <c r="E22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49" t="s">
        <v>0</v>
      </c>
      <c r="G2249" s="2">
        <v>35.76</v>
      </c>
    </row>
    <row r="2250" spans="1:7" x14ac:dyDescent="0.25">
      <c r="A22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241116-LUN008</v>
      </c>
      <c r="B2250" s="1" t="str">
        <f>TEXT(Coffee_sales_clean[[#This Row],[Transaction Date]],"dddd")</f>
        <v>Saturday</v>
      </c>
      <c r="C2250" s="12">
        <v>45612</v>
      </c>
      <c r="D2250" s="4">
        <v>0.55341989583333329</v>
      </c>
      <c r="E22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50" t="s">
        <v>3</v>
      </c>
      <c r="G2250" s="2">
        <v>30.86</v>
      </c>
    </row>
    <row r="2251" spans="1:7" x14ac:dyDescent="0.25">
      <c r="A22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241116-LUN009</v>
      </c>
      <c r="B2251" s="1" t="str">
        <f>TEXT(Coffee_sales_clean[[#This Row],[Transaction Date]],"dddd")</f>
        <v>Saturday</v>
      </c>
      <c r="C2251" s="12">
        <v>45612</v>
      </c>
      <c r="D2251" s="4">
        <v>0.55417217592592594</v>
      </c>
      <c r="E22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51" t="s">
        <v>0</v>
      </c>
      <c r="G2251" s="2">
        <v>35.76</v>
      </c>
    </row>
    <row r="2252" spans="1:7" x14ac:dyDescent="0.25">
      <c r="A22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241116-LUN010</v>
      </c>
      <c r="B2252" s="1" t="str">
        <f>TEXT(Coffee_sales_clean[[#This Row],[Transaction Date]],"dddd")</f>
        <v>Saturday</v>
      </c>
      <c r="C2252" s="12">
        <v>45612</v>
      </c>
      <c r="D2252" s="4">
        <v>0.55496560185185184</v>
      </c>
      <c r="E22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52" t="s">
        <v>0</v>
      </c>
      <c r="G2252" s="2">
        <v>35.76</v>
      </c>
    </row>
    <row r="2253" spans="1:7" x14ac:dyDescent="0.25">
      <c r="A22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241116-AFT001</v>
      </c>
      <c r="B2253" s="1" t="str">
        <f>TEXT(Coffee_sales_clean[[#This Row],[Transaction Date]],"dddd")</f>
        <v>Saturday</v>
      </c>
      <c r="C2253" s="12">
        <v>45612</v>
      </c>
      <c r="D2253" s="4">
        <v>0.60124291666666663</v>
      </c>
      <c r="E22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53" t="s">
        <v>3</v>
      </c>
      <c r="G2253" s="2">
        <v>30.86</v>
      </c>
    </row>
    <row r="2254" spans="1:7" x14ac:dyDescent="0.25">
      <c r="A22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241117-MOR001</v>
      </c>
      <c r="B2254" s="1" t="str">
        <f>TEXT(Coffee_sales_clean[[#This Row],[Transaction Date]],"dddd")</f>
        <v>Sunday</v>
      </c>
      <c r="C2254" s="12">
        <v>45613</v>
      </c>
      <c r="D2254" s="4">
        <v>0.43723359953703705</v>
      </c>
      <c r="E22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54" t="s">
        <v>3</v>
      </c>
      <c r="G2254" s="2">
        <v>30.86</v>
      </c>
    </row>
    <row r="2255" spans="1:7" x14ac:dyDescent="0.25">
      <c r="A22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241117-LUN001</v>
      </c>
      <c r="B2255" s="1" t="str">
        <f>TEXT(Coffee_sales_clean[[#This Row],[Transaction Date]],"dddd")</f>
        <v>Sunday</v>
      </c>
      <c r="C2255" s="12">
        <v>45613</v>
      </c>
      <c r="D2255" s="4">
        <v>0.56620017361111108</v>
      </c>
      <c r="E22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55" t="s">
        <v>3</v>
      </c>
      <c r="G2255" s="2">
        <v>30.86</v>
      </c>
    </row>
    <row r="2256" spans="1:7" x14ac:dyDescent="0.25">
      <c r="A22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241117-AFT001</v>
      </c>
      <c r="B2256" s="1" t="str">
        <f>TEXT(Coffee_sales_clean[[#This Row],[Transaction Date]],"dddd")</f>
        <v>Sunday</v>
      </c>
      <c r="C2256" s="12">
        <v>45613</v>
      </c>
      <c r="D2256" s="4">
        <v>0.59631709490740736</v>
      </c>
      <c r="E22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56" t="s">
        <v>2</v>
      </c>
      <c r="G2256" s="2">
        <v>25.96</v>
      </c>
    </row>
    <row r="2257" spans="1:7" x14ac:dyDescent="0.25">
      <c r="A22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241117-AFT002</v>
      </c>
      <c r="B2257" s="1" t="str">
        <f>TEXT(Coffee_sales_clean[[#This Row],[Transaction Date]],"dddd")</f>
        <v>Sunday</v>
      </c>
      <c r="C2257" s="12">
        <v>45613</v>
      </c>
      <c r="D2257" s="4">
        <v>0.60671582175925931</v>
      </c>
      <c r="E22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57" t="s">
        <v>3</v>
      </c>
      <c r="G2257" s="2">
        <v>30.86</v>
      </c>
    </row>
    <row r="2258" spans="1:7" x14ac:dyDescent="0.25">
      <c r="A22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241117-AFT003</v>
      </c>
      <c r="B2258" s="1" t="str">
        <f>TEXT(Coffee_sales_clean[[#This Row],[Transaction Date]],"dddd")</f>
        <v>Sunday</v>
      </c>
      <c r="C2258" s="12">
        <v>45613</v>
      </c>
      <c r="D2258" s="4">
        <v>0.68571972222222222</v>
      </c>
      <c r="E22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58" t="s">
        <v>0</v>
      </c>
      <c r="G2258" s="2">
        <v>35.76</v>
      </c>
    </row>
    <row r="2259" spans="1:7" x14ac:dyDescent="0.25">
      <c r="A22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241117-AFT004</v>
      </c>
      <c r="B2259" s="1" t="str">
        <f>TEXT(Coffee_sales_clean[[#This Row],[Transaction Date]],"dddd")</f>
        <v>Sunday</v>
      </c>
      <c r="C2259" s="12">
        <v>45613</v>
      </c>
      <c r="D2259" s="4">
        <v>0.68652521990740745</v>
      </c>
      <c r="E22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59" t="s">
        <v>0</v>
      </c>
      <c r="G2259" s="2">
        <v>35.76</v>
      </c>
    </row>
    <row r="2260" spans="1:7" x14ac:dyDescent="0.25">
      <c r="A22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241117-EVE001</v>
      </c>
      <c r="B2260" s="1" t="str">
        <f>TEXT(Coffee_sales_clean[[#This Row],[Transaction Date]],"dddd")</f>
        <v>Sunday</v>
      </c>
      <c r="C2260" s="12">
        <v>45613</v>
      </c>
      <c r="D2260" s="4">
        <v>0.75702130787037036</v>
      </c>
      <c r="E22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60" t="s">
        <v>1</v>
      </c>
      <c r="G2260" s="2">
        <v>35.76</v>
      </c>
    </row>
    <row r="2261" spans="1:7" x14ac:dyDescent="0.25">
      <c r="A22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241117-EVE002</v>
      </c>
      <c r="B2261" s="1" t="str">
        <f>TEXT(Coffee_sales_clean[[#This Row],[Transaction Date]],"dddd")</f>
        <v>Sunday</v>
      </c>
      <c r="C2261" s="12">
        <v>45613</v>
      </c>
      <c r="D2261" s="4">
        <v>0.80386908564814819</v>
      </c>
      <c r="E22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61" t="s">
        <v>1</v>
      </c>
      <c r="G2261" s="2">
        <v>35.76</v>
      </c>
    </row>
    <row r="2262" spans="1:7" x14ac:dyDescent="0.25">
      <c r="A22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241117-EVE003</v>
      </c>
      <c r="B2262" s="1" t="str">
        <f>TEXT(Coffee_sales_clean[[#This Row],[Transaction Date]],"dddd")</f>
        <v>Sunday</v>
      </c>
      <c r="C2262" s="12">
        <v>45613</v>
      </c>
      <c r="D2262" s="4">
        <v>0.80448518518518519</v>
      </c>
      <c r="E22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62" t="s">
        <v>1</v>
      </c>
      <c r="G2262" s="2">
        <v>35.76</v>
      </c>
    </row>
    <row r="2263" spans="1:7" x14ac:dyDescent="0.25">
      <c r="A22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241118-MOR001</v>
      </c>
      <c r="B2263" s="1" t="str">
        <f>TEXT(Coffee_sales_clean[[#This Row],[Transaction Date]],"dddd")</f>
        <v>Monday</v>
      </c>
      <c r="C2263" s="12">
        <v>45614</v>
      </c>
      <c r="D2263" s="4">
        <v>0.32800484953703701</v>
      </c>
      <c r="E22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63" t="s">
        <v>3</v>
      </c>
      <c r="G2263" s="2">
        <v>30.86</v>
      </c>
    </row>
    <row r="2264" spans="1:7" x14ac:dyDescent="0.25">
      <c r="A22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241118-MOR002</v>
      </c>
      <c r="B2264" s="1" t="str">
        <f>TEXT(Coffee_sales_clean[[#This Row],[Transaction Date]],"dddd")</f>
        <v>Monday</v>
      </c>
      <c r="C2264" s="12">
        <v>45614</v>
      </c>
      <c r="D2264" s="4">
        <v>0.32866146990740741</v>
      </c>
      <c r="E22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64" t="s">
        <v>3</v>
      </c>
      <c r="G2264" s="2">
        <v>30.86</v>
      </c>
    </row>
    <row r="2265" spans="1:7" x14ac:dyDescent="0.25">
      <c r="A22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241118-MOR003</v>
      </c>
      <c r="B2265" s="1" t="str">
        <f>TEXT(Coffee_sales_clean[[#This Row],[Transaction Date]],"dddd")</f>
        <v>Monday</v>
      </c>
      <c r="C2265" s="12">
        <v>45614</v>
      </c>
      <c r="D2265" s="4">
        <v>0.33150692129629628</v>
      </c>
      <c r="E22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65" t="s">
        <v>0</v>
      </c>
      <c r="G2265" s="2">
        <v>35.76</v>
      </c>
    </row>
    <row r="2266" spans="1:7" x14ac:dyDescent="0.25">
      <c r="A22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241118-AFT001</v>
      </c>
      <c r="B2266" s="1" t="str">
        <f>TEXT(Coffee_sales_clean[[#This Row],[Transaction Date]],"dddd")</f>
        <v>Monday</v>
      </c>
      <c r="C2266" s="12">
        <v>45614</v>
      </c>
      <c r="D2266" s="4">
        <v>0.69779020833333338</v>
      </c>
      <c r="E22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66" t="s">
        <v>0</v>
      </c>
      <c r="G2266" s="2">
        <v>35.76</v>
      </c>
    </row>
    <row r="2267" spans="1:7" x14ac:dyDescent="0.25">
      <c r="A22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241118-AFT002</v>
      </c>
      <c r="B2267" s="1" t="str">
        <f>TEXT(Coffee_sales_clean[[#This Row],[Transaction Date]],"dddd")</f>
        <v>Monday</v>
      </c>
      <c r="C2267" s="12">
        <v>45614</v>
      </c>
      <c r="D2267" s="4">
        <v>0.69922331018518513</v>
      </c>
      <c r="E22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67" t="s">
        <v>0</v>
      </c>
      <c r="G2267" s="2">
        <v>35.76</v>
      </c>
    </row>
    <row r="2268" spans="1:7" x14ac:dyDescent="0.25">
      <c r="A22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241118-EVE001</v>
      </c>
      <c r="B2268" s="1" t="str">
        <f>TEXT(Coffee_sales_clean[[#This Row],[Transaction Date]],"dddd")</f>
        <v>Monday</v>
      </c>
      <c r="C2268" s="12">
        <v>45614</v>
      </c>
      <c r="D2268" s="4">
        <v>0.78534880787037042</v>
      </c>
      <c r="E22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68" t="s">
        <v>0</v>
      </c>
      <c r="G2268" s="2">
        <v>35.76</v>
      </c>
    </row>
    <row r="2269" spans="1:7" x14ac:dyDescent="0.25">
      <c r="A22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241119-MOR001</v>
      </c>
      <c r="B2269" s="1" t="str">
        <f>TEXT(Coffee_sales_clean[[#This Row],[Transaction Date]],"dddd")</f>
        <v>Tuesday</v>
      </c>
      <c r="C2269" s="12">
        <v>45615</v>
      </c>
      <c r="D2269" s="4">
        <v>0.32570171296296296</v>
      </c>
      <c r="E22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69" t="s">
        <v>4</v>
      </c>
      <c r="G2269" s="2">
        <v>35.76</v>
      </c>
    </row>
    <row r="2270" spans="1:7" x14ac:dyDescent="0.25">
      <c r="A22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241119-MOR002</v>
      </c>
      <c r="B2270" s="1" t="str">
        <f>TEXT(Coffee_sales_clean[[#This Row],[Transaction Date]],"dddd")</f>
        <v>Tuesday</v>
      </c>
      <c r="C2270" s="12">
        <v>45615</v>
      </c>
      <c r="D2270" s="4">
        <v>0.32724164351851853</v>
      </c>
      <c r="E22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70" t="s">
        <v>3</v>
      </c>
      <c r="G2270" s="2">
        <v>30.86</v>
      </c>
    </row>
    <row r="2271" spans="1:7" x14ac:dyDescent="0.25">
      <c r="A22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241119-MOR003</v>
      </c>
      <c r="B2271" s="1" t="str">
        <f>TEXT(Coffee_sales_clean[[#This Row],[Transaction Date]],"dddd")</f>
        <v>Tuesday</v>
      </c>
      <c r="C2271" s="12">
        <v>45615</v>
      </c>
      <c r="D2271" s="4">
        <v>0.3279330324074074</v>
      </c>
      <c r="E22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71" t="s">
        <v>0</v>
      </c>
      <c r="G2271" s="2">
        <v>35.76</v>
      </c>
    </row>
    <row r="2272" spans="1:7" x14ac:dyDescent="0.25">
      <c r="A22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241119-MOR004</v>
      </c>
      <c r="B2272" s="1" t="str">
        <f>TEXT(Coffee_sales_clean[[#This Row],[Transaction Date]],"dddd")</f>
        <v>Tuesday</v>
      </c>
      <c r="C2272" s="12">
        <v>45615</v>
      </c>
      <c r="D2272" s="4">
        <v>0.32891658564814813</v>
      </c>
      <c r="E22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72" t="s">
        <v>6</v>
      </c>
      <c r="G2272" s="2">
        <v>21.06</v>
      </c>
    </row>
    <row r="2273" spans="1:7" x14ac:dyDescent="0.25">
      <c r="A22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241119-MOR005</v>
      </c>
      <c r="B2273" s="1" t="str">
        <f>TEXT(Coffee_sales_clean[[#This Row],[Transaction Date]],"dddd")</f>
        <v>Tuesday</v>
      </c>
      <c r="C2273" s="12">
        <v>45615</v>
      </c>
      <c r="D2273" s="4">
        <v>0.32970940972222224</v>
      </c>
      <c r="E22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73" t="s">
        <v>0</v>
      </c>
      <c r="G2273" s="2">
        <v>35.76</v>
      </c>
    </row>
    <row r="2274" spans="1:7" x14ac:dyDescent="0.25">
      <c r="A22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241119-MOR006</v>
      </c>
      <c r="B2274" s="1" t="str">
        <f>TEXT(Coffee_sales_clean[[#This Row],[Transaction Date]],"dddd")</f>
        <v>Tuesday</v>
      </c>
      <c r="C2274" s="12">
        <v>45615</v>
      </c>
      <c r="D2274" s="4">
        <v>0.4370760300925926</v>
      </c>
      <c r="E22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74" t="s">
        <v>3</v>
      </c>
      <c r="G2274" s="2">
        <v>30.86</v>
      </c>
    </row>
    <row r="2275" spans="1:7" x14ac:dyDescent="0.25">
      <c r="A22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241119-LUN001</v>
      </c>
      <c r="B2275" s="1" t="str">
        <f>TEXT(Coffee_sales_clean[[#This Row],[Transaction Date]],"dddd")</f>
        <v>Tuesday</v>
      </c>
      <c r="C2275" s="12">
        <v>45615</v>
      </c>
      <c r="D2275" s="4">
        <v>0.46329880787037037</v>
      </c>
      <c r="E22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75" t="s">
        <v>0</v>
      </c>
      <c r="G2275" s="2">
        <v>35.76</v>
      </c>
    </row>
    <row r="2276" spans="1:7" x14ac:dyDescent="0.25">
      <c r="A22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241119-AFT001</v>
      </c>
      <c r="B2276" s="1" t="str">
        <f>TEXT(Coffee_sales_clean[[#This Row],[Transaction Date]],"dddd")</f>
        <v>Tuesday</v>
      </c>
      <c r="C2276" s="12">
        <v>45615</v>
      </c>
      <c r="D2276" s="4">
        <v>0.68241297453703709</v>
      </c>
      <c r="E22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76" t="s">
        <v>4</v>
      </c>
      <c r="G2276" s="2">
        <v>35.76</v>
      </c>
    </row>
    <row r="2277" spans="1:7" x14ac:dyDescent="0.25">
      <c r="A22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241119-AFT002</v>
      </c>
      <c r="B2277" s="1" t="str">
        <f>TEXT(Coffee_sales_clean[[#This Row],[Transaction Date]],"dddd")</f>
        <v>Tuesday</v>
      </c>
      <c r="C2277" s="12">
        <v>45615</v>
      </c>
      <c r="D2277" s="4">
        <v>0.68332682870370376</v>
      </c>
      <c r="E22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77" t="s">
        <v>4</v>
      </c>
      <c r="G2277" s="2">
        <v>35.76</v>
      </c>
    </row>
    <row r="2278" spans="1:7" x14ac:dyDescent="0.25">
      <c r="A22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241119-AFT003</v>
      </c>
      <c r="B2278" s="1" t="str">
        <f>TEXT(Coffee_sales_clean[[#This Row],[Transaction Date]],"dddd")</f>
        <v>Tuesday</v>
      </c>
      <c r="C2278" s="12">
        <v>45615</v>
      </c>
      <c r="D2278" s="4">
        <v>0.69518137731481477</v>
      </c>
      <c r="E22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78" t="s">
        <v>7</v>
      </c>
      <c r="G2278" s="2">
        <v>35.76</v>
      </c>
    </row>
    <row r="2279" spans="1:7" x14ac:dyDescent="0.25">
      <c r="A22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241119-AFT004</v>
      </c>
      <c r="B2279" s="1" t="str">
        <f>TEXT(Coffee_sales_clean[[#This Row],[Transaction Date]],"dddd")</f>
        <v>Tuesday</v>
      </c>
      <c r="C2279" s="12">
        <v>45615</v>
      </c>
      <c r="D2279" s="4">
        <v>0.69978280092592593</v>
      </c>
      <c r="E22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79" t="s">
        <v>7</v>
      </c>
      <c r="G2279" s="2">
        <v>35.76</v>
      </c>
    </row>
    <row r="2280" spans="1:7" x14ac:dyDescent="0.25">
      <c r="A22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241120-LUN001</v>
      </c>
      <c r="B2280" s="1" t="str">
        <f>TEXT(Coffee_sales_clean[[#This Row],[Transaction Date]],"dddd")</f>
        <v>Wednesday</v>
      </c>
      <c r="C2280" s="12">
        <v>45616</v>
      </c>
      <c r="D2280" s="4">
        <v>0.56225390046296297</v>
      </c>
      <c r="E22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80" t="s">
        <v>3</v>
      </c>
      <c r="G2280" s="2">
        <v>30.86</v>
      </c>
    </row>
    <row r="2281" spans="1:7" x14ac:dyDescent="0.25">
      <c r="A22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241120-AFT001</v>
      </c>
      <c r="B2281" s="1" t="str">
        <f>TEXT(Coffee_sales_clean[[#This Row],[Transaction Date]],"dddd")</f>
        <v>Wednesday</v>
      </c>
      <c r="C2281" s="12">
        <v>45616</v>
      </c>
      <c r="D2281" s="4">
        <v>0.69085818287037037</v>
      </c>
      <c r="E22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81" t="s">
        <v>0</v>
      </c>
      <c r="G2281" s="2">
        <v>35.76</v>
      </c>
    </row>
    <row r="2282" spans="1:7" x14ac:dyDescent="0.25">
      <c r="A22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241120-EVE001</v>
      </c>
      <c r="B2282" s="1" t="str">
        <f>TEXT(Coffee_sales_clean[[#This Row],[Transaction Date]],"dddd")</f>
        <v>Wednesday</v>
      </c>
      <c r="C2282" s="12">
        <v>45616</v>
      </c>
      <c r="D2282" s="4">
        <v>0.74295973379629632</v>
      </c>
      <c r="E22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82" t="s">
        <v>7</v>
      </c>
      <c r="G2282" s="2">
        <v>35.76</v>
      </c>
    </row>
    <row r="2283" spans="1:7" x14ac:dyDescent="0.25">
      <c r="A22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241120-EVE002</v>
      </c>
      <c r="B2283" s="1" t="str">
        <f>TEXT(Coffee_sales_clean[[#This Row],[Transaction Date]],"dddd")</f>
        <v>Wednesday</v>
      </c>
      <c r="C2283" s="12">
        <v>45616</v>
      </c>
      <c r="D2283" s="4">
        <v>0.7436314814814815</v>
      </c>
      <c r="E22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83" t="s">
        <v>1</v>
      </c>
      <c r="G2283" s="2">
        <v>35.76</v>
      </c>
    </row>
    <row r="2284" spans="1:7" x14ac:dyDescent="0.25">
      <c r="A22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241121-LUN001</v>
      </c>
      <c r="B2284" s="1" t="str">
        <f>TEXT(Coffee_sales_clean[[#This Row],[Transaction Date]],"dddd")</f>
        <v>Thursday</v>
      </c>
      <c r="C2284" s="12">
        <v>45617</v>
      </c>
      <c r="D2284" s="4">
        <v>0.46262763888888891</v>
      </c>
      <c r="E22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84" t="s">
        <v>5</v>
      </c>
      <c r="G2284" s="2">
        <v>25.96</v>
      </c>
    </row>
    <row r="2285" spans="1:7" x14ac:dyDescent="0.25">
      <c r="A22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241121-LUN002</v>
      </c>
      <c r="B2285" s="1" t="str">
        <f>TEXT(Coffee_sales_clean[[#This Row],[Transaction Date]],"dddd")</f>
        <v>Thursday</v>
      </c>
      <c r="C2285" s="12">
        <v>45617</v>
      </c>
      <c r="D2285" s="4">
        <v>0.52333428240740743</v>
      </c>
      <c r="E22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85" t="s">
        <v>0</v>
      </c>
      <c r="G2285" s="2">
        <v>35.76</v>
      </c>
    </row>
    <row r="2286" spans="1:7" x14ac:dyDescent="0.25">
      <c r="A22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241121-LUN003</v>
      </c>
      <c r="B2286" s="1" t="str">
        <f>TEXT(Coffee_sales_clean[[#This Row],[Transaction Date]],"dddd")</f>
        <v>Thursday</v>
      </c>
      <c r="C2286" s="12">
        <v>45617</v>
      </c>
      <c r="D2286" s="4">
        <v>0.54149701388888893</v>
      </c>
      <c r="E22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86" t="s">
        <v>4</v>
      </c>
      <c r="G2286" s="2">
        <v>35.76</v>
      </c>
    </row>
    <row r="2287" spans="1:7" x14ac:dyDescent="0.25">
      <c r="A22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241121-LUN004</v>
      </c>
      <c r="B2287" s="1" t="str">
        <f>TEXT(Coffee_sales_clean[[#This Row],[Transaction Date]],"dddd")</f>
        <v>Thursday</v>
      </c>
      <c r="C2287" s="12">
        <v>45617</v>
      </c>
      <c r="D2287" s="4">
        <v>0.54221516203703701</v>
      </c>
      <c r="E22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87" t="s">
        <v>4</v>
      </c>
      <c r="G2287" s="2">
        <v>35.76</v>
      </c>
    </row>
    <row r="2288" spans="1:7" x14ac:dyDescent="0.25">
      <c r="A22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241121-AFT001</v>
      </c>
      <c r="B2288" s="1" t="str">
        <f>TEXT(Coffee_sales_clean[[#This Row],[Transaction Date]],"dddd")</f>
        <v>Thursday</v>
      </c>
      <c r="C2288" s="12">
        <v>45617</v>
      </c>
      <c r="D2288" s="4">
        <v>0.67654591435185185</v>
      </c>
      <c r="E22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88" t="s">
        <v>0</v>
      </c>
      <c r="G2288" s="2">
        <v>35.76</v>
      </c>
    </row>
    <row r="2289" spans="1:7" x14ac:dyDescent="0.25">
      <c r="A22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241121-EVE001</v>
      </c>
      <c r="B2289" s="1" t="str">
        <f>TEXT(Coffee_sales_clean[[#This Row],[Transaction Date]],"dddd")</f>
        <v>Thursday</v>
      </c>
      <c r="C2289" s="12">
        <v>45617</v>
      </c>
      <c r="D2289" s="4">
        <v>0.73295545138888885</v>
      </c>
      <c r="E22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89" t="s">
        <v>3</v>
      </c>
      <c r="G2289" s="2">
        <v>30.86</v>
      </c>
    </row>
    <row r="2290" spans="1:7" x14ac:dyDescent="0.25">
      <c r="A22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241121-EVE002</v>
      </c>
      <c r="B2290" s="1" t="str">
        <f>TEXT(Coffee_sales_clean[[#This Row],[Transaction Date]],"dddd")</f>
        <v>Thursday</v>
      </c>
      <c r="C2290" s="12">
        <v>45617</v>
      </c>
      <c r="D2290" s="4">
        <v>0.73568254629629626</v>
      </c>
      <c r="E22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90" t="s">
        <v>5</v>
      </c>
      <c r="G2290" s="2">
        <v>25.96</v>
      </c>
    </row>
    <row r="2291" spans="1:7" x14ac:dyDescent="0.25">
      <c r="A22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241121-EVE003</v>
      </c>
      <c r="B2291" s="1" t="str">
        <f>TEXT(Coffee_sales_clean[[#This Row],[Transaction Date]],"dddd")</f>
        <v>Thursday</v>
      </c>
      <c r="C2291" s="12">
        <v>45617</v>
      </c>
      <c r="D2291" s="4">
        <v>0.79239521990740736</v>
      </c>
      <c r="E22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291" t="s">
        <v>1</v>
      </c>
      <c r="G2291" s="2">
        <v>35.76</v>
      </c>
    </row>
    <row r="2292" spans="1:7" x14ac:dyDescent="0.25">
      <c r="A22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241122-MOR001</v>
      </c>
      <c r="B2292" s="1" t="str">
        <f>TEXT(Coffee_sales_clean[[#This Row],[Transaction Date]],"dddd")</f>
        <v>Friday</v>
      </c>
      <c r="C2292" s="12">
        <v>45618</v>
      </c>
      <c r="D2292" s="4">
        <v>0.32680928240740742</v>
      </c>
      <c r="E22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92" t="s">
        <v>0</v>
      </c>
      <c r="G2292" s="2">
        <v>35.76</v>
      </c>
    </row>
    <row r="2293" spans="1:7" x14ac:dyDescent="0.25">
      <c r="A22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241122-MOR002</v>
      </c>
      <c r="B2293" s="1" t="str">
        <f>TEXT(Coffee_sales_clean[[#This Row],[Transaction Date]],"dddd")</f>
        <v>Friday</v>
      </c>
      <c r="C2293" s="12">
        <v>45618</v>
      </c>
      <c r="D2293" s="4">
        <v>0.41924194444444446</v>
      </c>
      <c r="E22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93" t="s">
        <v>7</v>
      </c>
      <c r="G2293" s="2">
        <v>35.76</v>
      </c>
    </row>
    <row r="2294" spans="1:7" x14ac:dyDescent="0.25">
      <c r="A22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241122-LUN001</v>
      </c>
      <c r="B2294" s="1" t="str">
        <f>TEXT(Coffee_sales_clean[[#This Row],[Transaction Date]],"dddd")</f>
        <v>Friday</v>
      </c>
      <c r="C2294" s="12">
        <v>45618</v>
      </c>
      <c r="D2294" s="4">
        <v>0.4600972337962963</v>
      </c>
      <c r="E22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94" t="s">
        <v>0</v>
      </c>
      <c r="G2294" s="2">
        <v>35.76</v>
      </c>
    </row>
    <row r="2295" spans="1:7" x14ac:dyDescent="0.25">
      <c r="A22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241122-LUN002</v>
      </c>
      <c r="B2295" s="1" t="str">
        <f>TEXT(Coffee_sales_clean[[#This Row],[Transaction Date]],"dddd")</f>
        <v>Friday</v>
      </c>
      <c r="C2295" s="12">
        <v>45618</v>
      </c>
      <c r="D2295" s="4">
        <v>0.47530591435185188</v>
      </c>
      <c r="E22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295" t="s">
        <v>4</v>
      </c>
      <c r="G2295" s="2">
        <v>35.76</v>
      </c>
    </row>
    <row r="2296" spans="1:7" x14ac:dyDescent="0.25">
      <c r="A22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241122-AFT001</v>
      </c>
      <c r="B2296" s="1" t="str">
        <f>TEXT(Coffee_sales_clean[[#This Row],[Transaction Date]],"dddd")</f>
        <v>Friday</v>
      </c>
      <c r="C2296" s="12">
        <v>45618</v>
      </c>
      <c r="D2296" s="4">
        <v>0.68964495370370371</v>
      </c>
      <c r="E22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96" t="s">
        <v>1</v>
      </c>
      <c r="G2296" s="2">
        <v>35.76</v>
      </c>
    </row>
    <row r="2297" spans="1:7" x14ac:dyDescent="0.25">
      <c r="A22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241122-AFT002</v>
      </c>
      <c r="B2297" s="1" t="str">
        <f>TEXT(Coffee_sales_clean[[#This Row],[Transaction Date]],"dddd")</f>
        <v>Friday</v>
      </c>
      <c r="C2297" s="12">
        <v>45618</v>
      </c>
      <c r="D2297" s="4">
        <v>0.69016085648148151</v>
      </c>
      <c r="E22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297" t="s">
        <v>0</v>
      </c>
      <c r="G2297" s="2">
        <v>35.76</v>
      </c>
    </row>
    <row r="2298" spans="1:7" x14ac:dyDescent="0.25">
      <c r="A22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241123-MOR001</v>
      </c>
      <c r="B2298" s="1" t="str">
        <f>TEXT(Coffee_sales_clean[[#This Row],[Transaction Date]],"dddd")</f>
        <v>Saturday</v>
      </c>
      <c r="C2298" s="12">
        <v>45619</v>
      </c>
      <c r="D2298" s="4">
        <v>0.38247991898148148</v>
      </c>
      <c r="E22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98" t="s">
        <v>5</v>
      </c>
      <c r="G2298" s="2">
        <v>25.96</v>
      </c>
    </row>
    <row r="2299" spans="1:7" x14ac:dyDescent="0.25">
      <c r="A22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241123-MOR002</v>
      </c>
      <c r="B2299" s="1" t="str">
        <f>TEXT(Coffee_sales_clean[[#This Row],[Transaction Date]],"dddd")</f>
        <v>Saturday</v>
      </c>
      <c r="C2299" s="12">
        <v>45619</v>
      </c>
      <c r="D2299" s="4">
        <v>0.38320577546296297</v>
      </c>
      <c r="E22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299" t="s">
        <v>5</v>
      </c>
      <c r="G2299" s="2">
        <v>25.96</v>
      </c>
    </row>
    <row r="2300" spans="1:7" x14ac:dyDescent="0.25">
      <c r="A23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241123-MOR003</v>
      </c>
      <c r="B2300" s="1" t="str">
        <f>TEXT(Coffee_sales_clean[[#This Row],[Transaction Date]],"dddd")</f>
        <v>Saturday</v>
      </c>
      <c r="C2300" s="12">
        <v>45619</v>
      </c>
      <c r="D2300" s="4">
        <v>0.42032122685185186</v>
      </c>
      <c r="E23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00" t="s">
        <v>0</v>
      </c>
      <c r="G2300" s="2">
        <v>35.76</v>
      </c>
    </row>
    <row r="2301" spans="1:7" x14ac:dyDescent="0.25">
      <c r="A23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241123-LUN001</v>
      </c>
      <c r="B2301" s="1" t="str">
        <f>TEXT(Coffee_sales_clean[[#This Row],[Transaction Date]],"dddd")</f>
        <v>Saturday</v>
      </c>
      <c r="C2301" s="12">
        <v>45619</v>
      </c>
      <c r="D2301" s="4">
        <v>0.46041252314814812</v>
      </c>
      <c r="E23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01" t="s">
        <v>7</v>
      </c>
      <c r="G2301" s="2">
        <v>35.76</v>
      </c>
    </row>
    <row r="2302" spans="1:7" x14ac:dyDescent="0.25">
      <c r="A23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241123-LUN002</v>
      </c>
      <c r="B2302" s="1" t="str">
        <f>TEXT(Coffee_sales_clean[[#This Row],[Transaction Date]],"dddd")</f>
        <v>Saturday</v>
      </c>
      <c r="C2302" s="12">
        <v>45619</v>
      </c>
      <c r="D2302" s="4">
        <v>0.46490768518518516</v>
      </c>
      <c r="E23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02" t="s">
        <v>2</v>
      </c>
      <c r="G2302" s="2">
        <v>25.96</v>
      </c>
    </row>
    <row r="2303" spans="1:7" x14ac:dyDescent="0.25">
      <c r="A23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241123-LUN003</v>
      </c>
      <c r="B2303" s="1" t="str">
        <f>TEXT(Coffee_sales_clean[[#This Row],[Transaction Date]],"dddd")</f>
        <v>Saturday</v>
      </c>
      <c r="C2303" s="12">
        <v>45619</v>
      </c>
      <c r="D2303" s="4">
        <v>0.4655769212962963</v>
      </c>
      <c r="E23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03" t="s">
        <v>2</v>
      </c>
      <c r="G2303" s="2">
        <v>25.96</v>
      </c>
    </row>
    <row r="2304" spans="1:7" x14ac:dyDescent="0.25">
      <c r="A23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241123-LUN004</v>
      </c>
      <c r="B2304" s="1" t="str">
        <f>TEXT(Coffee_sales_clean[[#This Row],[Transaction Date]],"dddd")</f>
        <v>Saturday</v>
      </c>
      <c r="C2304" s="12">
        <v>45619</v>
      </c>
      <c r="D2304" s="4">
        <v>0.48712346064814815</v>
      </c>
      <c r="E23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04" t="s">
        <v>1</v>
      </c>
      <c r="G2304" s="2">
        <v>35.76</v>
      </c>
    </row>
    <row r="2305" spans="1:7" x14ac:dyDescent="0.25">
      <c r="A23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241123-LAT001</v>
      </c>
      <c r="B2305" s="1" t="str">
        <f>TEXT(Coffee_sales_clean[[#This Row],[Transaction Date]],"dddd")</f>
        <v>Saturday</v>
      </c>
      <c r="C2305" s="12">
        <v>45619</v>
      </c>
      <c r="D2305" s="4">
        <v>0.94240951388888894</v>
      </c>
      <c r="E23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05" t="s">
        <v>0</v>
      </c>
      <c r="G2305" s="2">
        <v>35.76</v>
      </c>
    </row>
    <row r="2306" spans="1:7" x14ac:dyDescent="0.25">
      <c r="A23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241124-MOR001</v>
      </c>
      <c r="B2306" s="1" t="str">
        <f>TEXT(Coffee_sales_clean[[#This Row],[Transaction Date]],"dddd")</f>
        <v>Sunday</v>
      </c>
      <c r="C2306" s="12">
        <v>45620</v>
      </c>
      <c r="D2306" s="4">
        <v>0.34522560185185186</v>
      </c>
      <c r="E23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06" t="s">
        <v>0</v>
      </c>
      <c r="G2306" s="2">
        <v>35.76</v>
      </c>
    </row>
    <row r="2307" spans="1:7" x14ac:dyDescent="0.25">
      <c r="A23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241125-MOR001</v>
      </c>
      <c r="B2307" s="1" t="str">
        <f>TEXT(Coffee_sales_clean[[#This Row],[Transaction Date]],"dddd")</f>
        <v>Monday</v>
      </c>
      <c r="C2307" s="12">
        <v>45621</v>
      </c>
      <c r="D2307" s="4">
        <v>0.32590224537037038</v>
      </c>
      <c r="E23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07" t="s">
        <v>7</v>
      </c>
      <c r="G2307" s="2">
        <v>35.76</v>
      </c>
    </row>
    <row r="2308" spans="1:7" x14ac:dyDescent="0.25">
      <c r="A23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241125-MOR002</v>
      </c>
      <c r="B2308" s="1" t="str">
        <f>TEXT(Coffee_sales_clean[[#This Row],[Transaction Date]],"dddd")</f>
        <v>Monday</v>
      </c>
      <c r="C2308" s="12">
        <v>45621</v>
      </c>
      <c r="D2308" s="4">
        <v>0.32943870370370371</v>
      </c>
      <c r="E23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08" t="s">
        <v>0</v>
      </c>
      <c r="G2308" s="2">
        <v>35.76</v>
      </c>
    </row>
    <row r="2309" spans="1:7" x14ac:dyDescent="0.25">
      <c r="A23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241125-MOR003</v>
      </c>
      <c r="B2309" s="1" t="str">
        <f>TEXT(Coffee_sales_clean[[#This Row],[Transaction Date]],"dddd")</f>
        <v>Monday</v>
      </c>
      <c r="C2309" s="12">
        <v>45621</v>
      </c>
      <c r="D2309" s="4">
        <v>0.38357625000000001</v>
      </c>
      <c r="E23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09" t="s">
        <v>3</v>
      </c>
      <c r="G2309" s="2">
        <v>30.86</v>
      </c>
    </row>
    <row r="2310" spans="1:7" x14ac:dyDescent="0.25">
      <c r="A23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241125-MOR004</v>
      </c>
      <c r="B2310" s="1" t="str">
        <f>TEXT(Coffee_sales_clean[[#This Row],[Transaction Date]],"dddd")</f>
        <v>Monday</v>
      </c>
      <c r="C2310" s="12">
        <v>45621</v>
      </c>
      <c r="D2310" s="4">
        <v>0.44314862268518518</v>
      </c>
      <c r="E23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10" t="s">
        <v>5</v>
      </c>
      <c r="G2310" s="2">
        <v>25.96</v>
      </c>
    </row>
    <row r="2311" spans="1:7" x14ac:dyDescent="0.25">
      <c r="A23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241125-LUN001</v>
      </c>
      <c r="B2311" s="1" t="str">
        <f>TEXT(Coffee_sales_clean[[#This Row],[Transaction Date]],"dddd")</f>
        <v>Monday</v>
      </c>
      <c r="C2311" s="12">
        <v>45621</v>
      </c>
      <c r="D2311" s="4">
        <v>0.53539582175925926</v>
      </c>
      <c r="E23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11" t="s">
        <v>0</v>
      </c>
      <c r="G2311" s="2">
        <v>35.76</v>
      </c>
    </row>
    <row r="2312" spans="1:7" x14ac:dyDescent="0.25">
      <c r="A23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241125-LUN002</v>
      </c>
      <c r="B2312" s="1" t="str">
        <f>TEXT(Coffee_sales_clean[[#This Row],[Transaction Date]],"dddd")</f>
        <v>Monday</v>
      </c>
      <c r="C2312" s="12">
        <v>45621</v>
      </c>
      <c r="D2312" s="4">
        <v>0.53658626157407407</v>
      </c>
      <c r="E23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12" t="s">
        <v>0</v>
      </c>
      <c r="G2312" s="2">
        <v>35.76</v>
      </c>
    </row>
    <row r="2313" spans="1:7" x14ac:dyDescent="0.25">
      <c r="A23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241125-AFT001</v>
      </c>
      <c r="B2313" s="1" t="str">
        <f>TEXT(Coffee_sales_clean[[#This Row],[Transaction Date]],"dddd")</f>
        <v>Monday</v>
      </c>
      <c r="C2313" s="12">
        <v>45621</v>
      </c>
      <c r="D2313" s="4">
        <v>0.688153587962963</v>
      </c>
      <c r="E23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13" t="s">
        <v>1</v>
      </c>
      <c r="G2313" s="2">
        <v>35.76</v>
      </c>
    </row>
    <row r="2314" spans="1:7" x14ac:dyDescent="0.25">
      <c r="A23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241125-EVE001</v>
      </c>
      <c r="B2314" s="1" t="str">
        <f>TEXT(Coffee_sales_clean[[#This Row],[Transaction Date]],"dddd")</f>
        <v>Monday</v>
      </c>
      <c r="C2314" s="12">
        <v>45621</v>
      </c>
      <c r="D2314" s="4">
        <v>0.79304510416666663</v>
      </c>
      <c r="E23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14" t="s">
        <v>3</v>
      </c>
      <c r="G2314" s="2">
        <v>30.86</v>
      </c>
    </row>
    <row r="2315" spans="1:7" x14ac:dyDescent="0.25">
      <c r="A23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241125-EVE002</v>
      </c>
      <c r="B2315" s="1" t="str">
        <f>TEXT(Coffee_sales_clean[[#This Row],[Transaction Date]],"dddd")</f>
        <v>Monday</v>
      </c>
      <c r="C2315" s="12">
        <v>45621</v>
      </c>
      <c r="D2315" s="4">
        <v>0.81803806712962968</v>
      </c>
      <c r="E23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15" t="s">
        <v>1</v>
      </c>
      <c r="G2315" s="2">
        <v>35.76</v>
      </c>
    </row>
    <row r="2316" spans="1:7" x14ac:dyDescent="0.25">
      <c r="A23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241125-LAT001</v>
      </c>
      <c r="B2316" s="1" t="str">
        <f>TEXT(Coffee_sales_clean[[#This Row],[Transaction Date]],"dddd")</f>
        <v>Monday</v>
      </c>
      <c r="C2316" s="12">
        <v>45621</v>
      </c>
      <c r="D2316" s="4">
        <v>0.90434276620370369</v>
      </c>
      <c r="E23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16" t="s">
        <v>1</v>
      </c>
      <c r="G2316" s="2">
        <v>35.76</v>
      </c>
    </row>
    <row r="2317" spans="1:7" x14ac:dyDescent="0.25">
      <c r="A23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241125-LAT002</v>
      </c>
      <c r="B2317" s="1" t="str">
        <f>TEXT(Coffee_sales_clean[[#This Row],[Transaction Date]],"dddd")</f>
        <v>Monday</v>
      </c>
      <c r="C2317" s="12">
        <v>45621</v>
      </c>
      <c r="D2317" s="4">
        <v>0.9048663194444444</v>
      </c>
      <c r="E23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17" t="s">
        <v>7</v>
      </c>
      <c r="G2317" s="2">
        <v>35.76</v>
      </c>
    </row>
    <row r="2318" spans="1:7" x14ac:dyDescent="0.25">
      <c r="A23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241126-MOR001</v>
      </c>
      <c r="B2318" s="1" t="str">
        <f>TEXT(Coffee_sales_clean[[#This Row],[Transaction Date]],"dddd")</f>
        <v>Tuesday</v>
      </c>
      <c r="C2318" s="12">
        <v>45622</v>
      </c>
      <c r="D2318" s="4">
        <v>0.3296058564814815</v>
      </c>
      <c r="E23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18" t="s">
        <v>0</v>
      </c>
      <c r="G2318" s="2">
        <v>35.76</v>
      </c>
    </row>
    <row r="2319" spans="1:7" x14ac:dyDescent="0.25">
      <c r="A23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241126-LUN001</v>
      </c>
      <c r="B2319" s="1" t="str">
        <f>TEXT(Coffee_sales_clean[[#This Row],[Transaction Date]],"dddd")</f>
        <v>Tuesday</v>
      </c>
      <c r="C2319" s="12">
        <v>45622</v>
      </c>
      <c r="D2319" s="4">
        <v>0.46037348379629628</v>
      </c>
      <c r="E23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19" t="s">
        <v>4</v>
      </c>
      <c r="G2319" s="2">
        <v>35.76</v>
      </c>
    </row>
    <row r="2320" spans="1:7" x14ac:dyDescent="0.25">
      <c r="A23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241126-LUN002</v>
      </c>
      <c r="B2320" s="1" t="str">
        <f>TEXT(Coffee_sales_clean[[#This Row],[Transaction Date]],"dddd")</f>
        <v>Tuesday</v>
      </c>
      <c r="C2320" s="12">
        <v>45622</v>
      </c>
      <c r="D2320" s="4">
        <v>0.46096383101851851</v>
      </c>
      <c r="E23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20" t="s">
        <v>2</v>
      </c>
      <c r="G2320" s="2">
        <v>25.96</v>
      </c>
    </row>
    <row r="2321" spans="1:7" x14ac:dyDescent="0.25">
      <c r="A23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241126-LUN003</v>
      </c>
      <c r="B2321" s="1" t="str">
        <f>TEXT(Coffee_sales_clean[[#This Row],[Transaction Date]],"dddd")</f>
        <v>Tuesday</v>
      </c>
      <c r="C2321" s="12">
        <v>45622</v>
      </c>
      <c r="D2321" s="4">
        <v>0.46260518518518517</v>
      </c>
      <c r="E23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21" t="s">
        <v>4</v>
      </c>
      <c r="G2321" s="2">
        <v>35.76</v>
      </c>
    </row>
    <row r="2322" spans="1:7" x14ac:dyDescent="0.25">
      <c r="A23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241126-LUN004</v>
      </c>
      <c r="B2322" s="1" t="str">
        <f>TEXT(Coffee_sales_clean[[#This Row],[Transaction Date]],"dddd")</f>
        <v>Tuesday</v>
      </c>
      <c r="C2322" s="12">
        <v>45622</v>
      </c>
      <c r="D2322" s="4">
        <v>0.46330979166666669</v>
      </c>
      <c r="E23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22" t="s">
        <v>4</v>
      </c>
      <c r="G2322" s="2">
        <v>35.76</v>
      </c>
    </row>
    <row r="2323" spans="1:7" x14ac:dyDescent="0.25">
      <c r="A23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241126-AFT001</v>
      </c>
      <c r="B2323" s="1" t="str">
        <f>TEXT(Coffee_sales_clean[[#This Row],[Transaction Date]],"dddd")</f>
        <v>Tuesday</v>
      </c>
      <c r="C2323" s="12">
        <v>45622</v>
      </c>
      <c r="D2323" s="4">
        <v>0.66937851851851848</v>
      </c>
      <c r="E23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23" t="s">
        <v>0</v>
      </c>
      <c r="G2323" s="2">
        <v>35.76</v>
      </c>
    </row>
    <row r="2324" spans="1:7" x14ac:dyDescent="0.25">
      <c r="A23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241126-AFT002</v>
      </c>
      <c r="B2324" s="1" t="str">
        <f>TEXT(Coffee_sales_clean[[#This Row],[Transaction Date]],"dddd")</f>
        <v>Tuesday</v>
      </c>
      <c r="C2324" s="12">
        <v>45622</v>
      </c>
      <c r="D2324" s="4">
        <v>0.67014531249999998</v>
      </c>
      <c r="E23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24" t="s">
        <v>0</v>
      </c>
      <c r="G2324" s="2">
        <v>35.76</v>
      </c>
    </row>
    <row r="2325" spans="1:7" x14ac:dyDescent="0.25">
      <c r="A23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241126-EVE001</v>
      </c>
      <c r="B2325" s="1" t="str">
        <f>TEXT(Coffee_sales_clean[[#This Row],[Transaction Date]],"dddd")</f>
        <v>Tuesday</v>
      </c>
      <c r="C2325" s="12">
        <v>45622</v>
      </c>
      <c r="D2325" s="4">
        <v>0.7164088657407407</v>
      </c>
      <c r="E23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25" t="s">
        <v>2</v>
      </c>
      <c r="G2325" s="2">
        <v>25.96</v>
      </c>
    </row>
    <row r="2326" spans="1:7" x14ac:dyDescent="0.25">
      <c r="A23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241126-EVE002</v>
      </c>
      <c r="B2326" s="1" t="str">
        <f>TEXT(Coffee_sales_clean[[#This Row],[Transaction Date]],"dddd")</f>
        <v>Tuesday</v>
      </c>
      <c r="C2326" s="12">
        <v>45622</v>
      </c>
      <c r="D2326" s="4">
        <v>0.71706524305555552</v>
      </c>
      <c r="E23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26" t="s">
        <v>3</v>
      </c>
      <c r="G2326" s="2">
        <v>30.86</v>
      </c>
    </row>
    <row r="2327" spans="1:7" x14ac:dyDescent="0.25">
      <c r="A23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241126-EVE003</v>
      </c>
      <c r="B2327" s="1" t="str">
        <f>TEXT(Coffee_sales_clean[[#This Row],[Transaction Date]],"dddd")</f>
        <v>Tuesday</v>
      </c>
      <c r="C2327" s="12">
        <v>45622</v>
      </c>
      <c r="D2327" s="4">
        <v>0.8245910300925926</v>
      </c>
      <c r="E23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27" t="s">
        <v>4</v>
      </c>
      <c r="G2327" s="2">
        <v>35.76</v>
      </c>
    </row>
    <row r="2328" spans="1:7" x14ac:dyDescent="0.25">
      <c r="A23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241128-MOR001</v>
      </c>
      <c r="B2328" s="1" t="str">
        <f>TEXT(Coffee_sales_clean[[#This Row],[Transaction Date]],"dddd")</f>
        <v>Thursday</v>
      </c>
      <c r="C2328" s="12">
        <v>45624</v>
      </c>
      <c r="D2328" s="4">
        <v>0.36200144675925927</v>
      </c>
      <c r="E23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28" t="s">
        <v>7</v>
      </c>
      <c r="G2328" s="2">
        <v>35.76</v>
      </c>
    </row>
    <row r="2329" spans="1:7" x14ac:dyDescent="0.25">
      <c r="A23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241128-MOR002</v>
      </c>
      <c r="B2329" s="1" t="str">
        <f>TEXT(Coffee_sales_clean[[#This Row],[Transaction Date]],"dddd")</f>
        <v>Thursday</v>
      </c>
      <c r="C2329" s="12">
        <v>45624</v>
      </c>
      <c r="D2329" s="4">
        <v>0.38473270833333334</v>
      </c>
      <c r="E23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29" t="s">
        <v>3</v>
      </c>
      <c r="G2329" s="2">
        <v>30.86</v>
      </c>
    </row>
    <row r="2330" spans="1:7" x14ac:dyDescent="0.25">
      <c r="A23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241128-LAT001</v>
      </c>
      <c r="B2330" s="1" t="str">
        <f>TEXT(Coffee_sales_clean[[#This Row],[Transaction Date]],"dddd")</f>
        <v>Thursday</v>
      </c>
      <c r="C2330" s="12">
        <v>45624</v>
      </c>
      <c r="D2330" s="4">
        <v>0.85048645833333336</v>
      </c>
      <c r="E23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30" t="s">
        <v>3</v>
      </c>
      <c r="G2330" s="2">
        <v>30.86</v>
      </c>
    </row>
    <row r="2331" spans="1:7" x14ac:dyDescent="0.25">
      <c r="A23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241128-LAT002</v>
      </c>
      <c r="B2331" s="1" t="str">
        <f>TEXT(Coffee_sales_clean[[#This Row],[Transaction Date]],"dddd")</f>
        <v>Thursday</v>
      </c>
      <c r="C2331" s="12">
        <v>45624</v>
      </c>
      <c r="D2331" s="4">
        <v>0.85122133101851849</v>
      </c>
      <c r="E23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31" t="s">
        <v>0</v>
      </c>
      <c r="G2331" s="2">
        <v>35.76</v>
      </c>
    </row>
    <row r="2332" spans="1:7" x14ac:dyDescent="0.25">
      <c r="A23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241128-LAT003</v>
      </c>
      <c r="B2332" s="1" t="str">
        <f>TEXT(Coffee_sales_clean[[#This Row],[Transaction Date]],"dddd")</f>
        <v>Thursday</v>
      </c>
      <c r="C2332" s="12">
        <v>45624</v>
      </c>
      <c r="D2332" s="4">
        <v>0.87152393518518523</v>
      </c>
      <c r="E23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32" t="s">
        <v>0</v>
      </c>
      <c r="G2332" s="2">
        <v>35.76</v>
      </c>
    </row>
    <row r="2333" spans="1:7" x14ac:dyDescent="0.25">
      <c r="A23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241128-LAT004</v>
      </c>
      <c r="B2333" s="1" t="str">
        <f>TEXT(Coffee_sales_clean[[#This Row],[Transaction Date]],"dddd")</f>
        <v>Thursday</v>
      </c>
      <c r="C2333" s="12">
        <v>45624</v>
      </c>
      <c r="D2333" s="4">
        <v>0.9168483101851852</v>
      </c>
      <c r="E23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33" t="s">
        <v>7</v>
      </c>
      <c r="G2333" s="2">
        <v>35.76</v>
      </c>
    </row>
    <row r="2334" spans="1:7" x14ac:dyDescent="0.25">
      <c r="A23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241129-MOR001</v>
      </c>
      <c r="B2334" s="1" t="str">
        <f>TEXT(Coffee_sales_clean[[#This Row],[Transaction Date]],"dddd")</f>
        <v>Friday</v>
      </c>
      <c r="C2334" s="12">
        <v>45625</v>
      </c>
      <c r="D2334" s="4">
        <v>0.32865553240740741</v>
      </c>
      <c r="E23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34" t="s">
        <v>4</v>
      </c>
      <c r="G2334" s="2">
        <v>35.76</v>
      </c>
    </row>
    <row r="2335" spans="1:7" x14ac:dyDescent="0.25">
      <c r="A23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241129-MOR002</v>
      </c>
      <c r="B2335" s="1" t="str">
        <f>TEXT(Coffee_sales_clean[[#This Row],[Transaction Date]],"dddd")</f>
        <v>Friday</v>
      </c>
      <c r="C2335" s="12">
        <v>45625</v>
      </c>
      <c r="D2335" s="4">
        <v>0.3317378587962963</v>
      </c>
      <c r="E23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35" t="s">
        <v>0</v>
      </c>
      <c r="G2335" s="2">
        <v>35.76</v>
      </c>
    </row>
    <row r="2336" spans="1:7" x14ac:dyDescent="0.25">
      <c r="A23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241129-MOR003</v>
      </c>
      <c r="B2336" s="1" t="str">
        <f>TEXT(Coffee_sales_clean[[#This Row],[Transaction Date]],"dddd")</f>
        <v>Friday</v>
      </c>
      <c r="C2336" s="12">
        <v>45625</v>
      </c>
      <c r="D2336" s="4">
        <v>0.38022575231481481</v>
      </c>
      <c r="E23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36" t="s">
        <v>3</v>
      </c>
      <c r="G2336" s="2">
        <v>30.86</v>
      </c>
    </row>
    <row r="2337" spans="1:7" x14ac:dyDescent="0.25">
      <c r="A23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241129-MOR004</v>
      </c>
      <c r="B2337" s="1" t="str">
        <f>TEXT(Coffee_sales_clean[[#This Row],[Transaction Date]],"dddd")</f>
        <v>Friday</v>
      </c>
      <c r="C2337" s="12">
        <v>45625</v>
      </c>
      <c r="D2337" s="4">
        <v>0.38090561342592594</v>
      </c>
      <c r="E23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37" t="s">
        <v>3</v>
      </c>
      <c r="G2337" s="2">
        <v>30.86</v>
      </c>
    </row>
    <row r="2338" spans="1:7" x14ac:dyDescent="0.25">
      <c r="A23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241129-AFT001</v>
      </c>
      <c r="B2338" s="1" t="str">
        <f>TEXT(Coffee_sales_clean[[#This Row],[Transaction Date]],"dddd")</f>
        <v>Friday</v>
      </c>
      <c r="C2338" s="12">
        <v>45625</v>
      </c>
      <c r="D2338" s="4">
        <v>0.63757939814814812</v>
      </c>
      <c r="E23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38" t="s">
        <v>3</v>
      </c>
      <c r="G2338" s="2">
        <v>30.86</v>
      </c>
    </row>
    <row r="2339" spans="1:7" x14ac:dyDescent="0.25">
      <c r="A23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241129-AFT002</v>
      </c>
      <c r="B2339" s="1" t="str">
        <f>TEXT(Coffee_sales_clean[[#This Row],[Transaction Date]],"dddd")</f>
        <v>Friday</v>
      </c>
      <c r="C2339" s="12">
        <v>45625</v>
      </c>
      <c r="D2339" s="4">
        <v>0.6384299537037037</v>
      </c>
      <c r="E23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39" t="s">
        <v>0</v>
      </c>
      <c r="G2339" s="2">
        <v>35.76</v>
      </c>
    </row>
    <row r="2340" spans="1:7" x14ac:dyDescent="0.25">
      <c r="A23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241129-LAT001</v>
      </c>
      <c r="B2340" s="1" t="str">
        <f>TEXT(Coffee_sales_clean[[#This Row],[Transaction Date]],"dddd")</f>
        <v>Friday</v>
      </c>
      <c r="C2340" s="12">
        <v>45625</v>
      </c>
      <c r="D2340" s="4">
        <v>0.8735493865740741</v>
      </c>
      <c r="E23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40" t="s">
        <v>4</v>
      </c>
      <c r="G2340" s="2">
        <v>35.76</v>
      </c>
    </row>
    <row r="2341" spans="1:7" x14ac:dyDescent="0.25">
      <c r="A23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241130-LUN001</v>
      </c>
      <c r="B2341" s="1" t="str">
        <f>TEXT(Coffee_sales_clean[[#This Row],[Transaction Date]],"dddd")</f>
        <v>Saturday</v>
      </c>
      <c r="C2341" s="12">
        <v>45626</v>
      </c>
      <c r="D2341" s="4">
        <v>0.54041831018518516</v>
      </c>
      <c r="E23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41" t="s">
        <v>4</v>
      </c>
      <c r="G2341" s="2">
        <v>35.76</v>
      </c>
    </row>
    <row r="2342" spans="1:7" x14ac:dyDescent="0.25">
      <c r="A23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241130-AFT001</v>
      </c>
      <c r="B2342" s="1" t="str">
        <f>TEXT(Coffee_sales_clean[[#This Row],[Transaction Date]],"dddd")</f>
        <v>Saturday</v>
      </c>
      <c r="C2342" s="12">
        <v>45626</v>
      </c>
      <c r="D2342" s="4">
        <v>0.58675710648148149</v>
      </c>
      <c r="E23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42" t="s">
        <v>2</v>
      </c>
      <c r="G2342" s="2">
        <v>25.96</v>
      </c>
    </row>
    <row r="2343" spans="1:7" x14ac:dyDescent="0.25">
      <c r="A23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241130-AFT002</v>
      </c>
      <c r="B2343" s="1" t="str">
        <f>TEXT(Coffee_sales_clean[[#This Row],[Transaction Date]],"dddd")</f>
        <v>Saturday</v>
      </c>
      <c r="C2343" s="12">
        <v>45626</v>
      </c>
      <c r="D2343" s="4">
        <v>0.58747775462962959</v>
      </c>
      <c r="E23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43" t="s">
        <v>1</v>
      </c>
      <c r="G2343" s="2">
        <v>35.76</v>
      </c>
    </row>
    <row r="2344" spans="1:7" x14ac:dyDescent="0.25">
      <c r="A23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241130-AFT003</v>
      </c>
      <c r="B2344" s="1" t="str">
        <f>TEXT(Coffee_sales_clean[[#This Row],[Transaction Date]],"dddd")</f>
        <v>Saturday</v>
      </c>
      <c r="C2344" s="12">
        <v>45626</v>
      </c>
      <c r="D2344" s="4">
        <v>0.59504651620370375</v>
      </c>
      <c r="E23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44" t="s">
        <v>4</v>
      </c>
      <c r="G2344" s="2">
        <v>35.76</v>
      </c>
    </row>
    <row r="2345" spans="1:7" x14ac:dyDescent="0.25">
      <c r="A23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241130-AFT004</v>
      </c>
      <c r="B2345" s="1" t="str">
        <f>TEXT(Coffee_sales_clean[[#This Row],[Transaction Date]],"dddd")</f>
        <v>Saturday</v>
      </c>
      <c r="C2345" s="12">
        <v>45626</v>
      </c>
      <c r="D2345" s="4">
        <v>0.6484293518518518</v>
      </c>
      <c r="E23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45" t="s">
        <v>3</v>
      </c>
      <c r="G2345" s="2">
        <v>30.86</v>
      </c>
    </row>
    <row r="2346" spans="1:7" x14ac:dyDescent="0.25">
      <c r="A23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241130-LAT001</v>
      </c>
      <c r="B2346" s="1" t="str">
        <f>TEXT(Coffee_sales_clean[[#This Row],[Transaction Date]],"dddd")</f>
        <v>Saturday</v>
      </c>
      <c r="C2346" s="12">
        <v>45626</v>
      </c>
      <c r="D2346" s="4">
        <v>0.91931115740740743</v>
      </c>
      <c r="E23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46" t="s">
        <v>3</v>
      </c>
      <c r="G2346" s="2">
        <v>30.86</v>
      </c>
    </row>
    <row r="2347" spans="1:7" x14ac:dyDescent="0.25">
      <c r="A23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241201-MOR001</v>
      </c>
      <c r="B2347" s="1" t="str">
        <f>TEXT(Coffee_sales_clean[[#This Row],[Transaction Date]],"dddd")</f>
        <v>Sunday</v>
      </c>
      <c r="C2347" s="12">
        <v>45627</v>
      </c>
      <c r="D2347" s="4">
        <v>0.42745019675925927</v>
      </c>
      <c r="E23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47" t="s">
        <v>3</v>
      </c>
      <c r="G2347" s="2">
        <v>30.86</v>
      </c>
    </row>
    <row r="2348" spans="1:7" x14ac:dyDescent="0.25">
      <c r="A23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241201-MOR002</v>
      </c>
      <c r="B2348" s="1" t="str">
        <f>TEXT(Coffee_sales_clean[[#This Row],[Transaction Date]],"dddd")</f>
        <v>Sunday</v>
      </c>
      <c r="C2348" s="12">
        <v>45627</v>
      </c>
      <c r="D2348" s="4">
        <v>0.42814726851851853</v>
      </c>
      <c r="E23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48" t="s">
        <v>3</v>
      </c>
      <c r="G2348" s="2">
        <v>30.86</v>
      </c>
    </row>
    <row r="2349" spans="1:7" x14ac:dyDescent="0.25">
      <c r="A23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241201-MOR003</v>
      </c>
      <c r="B2349" s="1" t="str">
        <f>TEXT(Coffee_sales_clean[[#This Row],[Transaction Date]],"dddd")</f>
        <v>Sunday</v>
      </c>
      <c r="C2349" s="12">
        <v>45627</v>
      </c>
      <c r="D2349" s="4">
        <v>0.43248365740740741</v>
      </c>
      <c r="E23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49" t="s">
        <v>3</v>
      </c>
      <c r="G2349" s="2">
        <v>30.86</v>
      </c>
    </row>
    <row r="2350" spans="1:7" x14ac:dyDescent="0.25">
      <c r="A23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241201-AFT001</v>
      </c>
      <c r="B2350" s="1" t="str">
        <f>TEXT(Coffee_sales_clean[[#This Row],[Transaction Date]],"dddd")</f>
        <v>Sunday</v>
      </c>
      <c r="C2350" s="12">
        <v>45627</v>
      </c>
      <c r="D2350" s="4">
        <v>0.60720914351851851</v>
      </c>
      <c r="E23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50" t="s">
        <v>3</v>
      </c>
      <c r="G2350" s="2">
        <v>30.86</v>
      </c>
    </row>
    <row r="2351" spans="1:7" x14ac:dyDescent="0.25">
      <c r="A23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241201-AFT002</v>
      </c>
      <c r="B2351" s="1" t="str">
        <f>TEXT(Coffee_sales_clean[[#This Row],[Transaction Date]],"dddd")</f>
        <v>Sunday</v>
      </c>
      <c r="C2351" s="12">
        <v>45627</v>
      </c>
      <c r="D2351" s="4">
        <v>0.63139644675925921</v>
      </c>
      <c r="E23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51" t="s">
        <v>4</v>
      </c>
      <c r="G2351" s="2">
        <v>35.76</v>
      </c>
    </row>
    <row r="2352" spans="1:7" x14ac:dyDescent="0.25">
      <c r="A23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241201-AFT003</v>
      </c>
      <c r="B2352" s="1" t="str">
        <f>TEXT(Coffee_sales_clean[[#This Row],[Transaction Date]],"dddd")</f>
        <v>Sunday</v>
      </c>
      <c r="C2352" s="12">
        <v>45627</v>
      </c>
      <c r="D2352" s="4">
        <v>0.63190927083333337</v>
      </c>
      <c r="E23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52" t="s">
        <v>4</v>
      </c>
      <c r="G2352" s="2">
        <v>35.76</v>
      </c>
    </row>
    <row r="2353" spans="1:7" x14ac:dyDescent="0.25">
      <c r="A23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241201-AFT004</v>
      </c>
      <c r="B2353" s="1" t="str">
        <f>TEXT(Coffee_sales_clean[[#This Row],[Transaction Date]],"dddd")</f>
        <v>Sunday</v>
      </c>
      <c r="C2353" s="12">
        <v>45627</v>
      </c>
      <c r="D2353" s="4">
        <v>0.65488765046296293</v>
      </c>
      <c r="E23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53" t="s">
        <v>7</v>
      </c>
      <c r="G2353" s="2">
        <v>35.76</v>
      </c>
    </row>
    <row r="2354" spans="1:7" x14ac:dyDescent="0.25">
      <c r="A23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241201-AFT005</v>
      </c>
      <c r="B2354" s="1" t="str">
        <f>TEXT(Coffee_sales_clean[[#This Row],[Transaction Date]],"dddd")</f>
        <v>Sunday</v>
      </c>
      <c r="C2354" s="12">
        <v>45627</v>
      </c>
      <c r="D2354" s="4">
        <v>0.66425017361111116</v>
      </c>
      <c r="E23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54" t="s">
        <v>0</v>
      </c>
      <c r="G2354" s="2">
        <v>35.76</v>
      </c>
    </row>
    <row r="2355" spans="1:7" x14ac:dyDescent="0.25">
      <c r="A23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241201-AFT006</v>
      </c>
      <c r="B2355" s="1" t="str">
        <f>TEXT(Coffee_sales_clean[[#This Row],[Transaction Date]],"dddd")</f>
        <v>Sunday</v>
      </c>
      <c r="C2355" s="12">
        <v>45627</v>
      </c>
      <c r="D2355" s="4">
        <v>0.6651546990740741</v>
      </c>
      <c r="E23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55" t="s">
        <v>0</v>
      </c>
      <c r="G2355" s="2">
        <v>35.76</v>
      </c>
    </row>
    <row r="2356" spans="1:7" x14ac:dyDescent="0.25">
      <c r="A23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241201-AFT007</v>
      </c>
      <c r="B2356" s="1" t="str">
        <f>TEXT(Coffee_sales_clean[[#This Row],[Transaction Date]],"dddd")</f>
        <v>Sunday</v>
      </c>
      <c r="C2356" s="12">
        <v>45627</v>
      </c>
      <c r="D2356" s="4">
        <v>0.68957732638888891</v>
      </c>
      <c r="E23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56" t="s">
        <v>0</v>
      </c>
      <c r="G2356" s="2">
        <v>35.76</v>
      </c>
    </row>
    <row r="2357" spans="1:7" x14ac:dyDescent="0.25">
      <c r="A23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241201-AFT008</v>
      </c>
      <c r="B2357" s="1" t="str">
        <f>TEXT(Coffee_sales_clean[[#This Row],[Transaction Date]],"dddd")</f>
        <v>Sunday</v>
      </c>
      <c r="C2357" s="12">
        <v>45627</v>
      </c>
      <c r="D2357" s="4">
        <v>0.69062554398148146</v>
      </c>
      <c r="E23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57" t="s">
        <v>0</v>
      </c>
      <c r="G2357" s="2">
        <v>35.76</v>
      </c>
    </row>
    <row r="2358" spans="1:7" x14ac:dyDescent="0.25">
      <c r="A23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241201-EVE001</v>
      </c>
      <c r="B2358" s="1" t="str">
        <f>TEXT(Coffee_sales_clean[[#This Row],[Transaction Date]],"dddd")</f>
        <v>Sunday</v>
      </c>
      <c r="C2358" s="12">
        <v>45627</v>
      </c>
      <c r="D2358" s="4">
        <v>0.71555064814814817</v>
      </c>
      <c r="E23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58" t="s">
        <v>3</v>
      </c>
      <c r="G2358" s="2">
        <v>30.86</v>
      </c>
    </row>
    <row r="2359" spans="1:7" x14ac:dyDescent="0.25">
      <c r="A23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241201-EVE002</v>
      </c>
      <c r="B2359" s="1" t="str">
        <f>TEXT(Coffee_sales_clean[[#This Row],[Transaction Date]],"dddd")</f>
        <v>Sunday</v>
      </c>
      <c r="C2359" s="12">
        <v>45627</v>
      </c>
      <c r="D2359" s="4">
        <v>0.71634281249999998</v>
      </c>
      <c r="E23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59" t="s">
        <v>3</v>
      </c>
      <c r="G2359" s="2">
        <v>30.86</v>
      </c>
    </row>
    <row r="2360" spans="1:7" x14ac:dyDescent="0.25">
      <c r="A23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241201-EVE003</v>
      </c>
      <c r="B2360" s="1" t="str">
        <f>TEXT(Coffee_sales_clean[[#This Row],[Transaction Date]],"dddd")</f>
        <v>Sunday</v>
      </c>
      <c r="C2360" s="12">
        <v>45627</v>
      </c>
      <c r="D2360" s="4">
        <v>0.77672089120370369</v>
      </c>
      <c r="E23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60" t="s">
        <v>3</v>
      </c>
      <c r="G2360" s="2">
        <v>30.86</v>
      </c>
    </row>
    <row r="2361" spans="1:7" x14ac:dyDescent="0.25">
      <c r="A23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241202-MOR001</v>
      </c>
      <c r="B2361" s="1" t="str">
        <f>TEXT(Coffee_sales_clean[[#This Row],[Transaction Date]],"dddd")</f>
        <v>Monday</v>
      </c>
      <c r="C2361" s="12">
        <v>45628</v>
      </c>
      <c r="D2361" s="4">
        <v>0.32681217592592593</v>
      </c>
      <c r="E23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61" t="s">
        <v>0</v>
      </c>
      <c r="G2361" s="2">
        <v>35.76</v>
      </c>
    </row>
    <row r="2362" spans="1:7" x14ac:dyDescent="0.25">
      <c r="A23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241202-MOR002</v>
      </c>
      <c r="B2362" s="1" t="str">
        <f>TEXT(Coffee_sales_clean[[#This Row],[Transaction Date]],"dddd")</f>
        <v>Monday</v>
      </c>
      <c r="C2362" s="12">
        <v>45628</v>
      </c>
      <c r="D2362" s="4">
        <v>0.32777052083333336</v>
      </c>
      <c r="E23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62" t="s">
        <v>2</v>
      </c>
      <c r="G2362" s="2">
        <v>25.96</v>
      </c>
    </row>
    <row r="2363" spans="1:7" x14ac:dyDescent="0.25">
      <c r="A23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241202-MOR003</v>
      </c>
      <c r="B2363" s="1" t="str">
        <f>TEXT(Coffee_sales_clean[[#This Row],[Transaction Date]],"dddd")</f>
        <v>Monday</v>
      </c>
      <c r="C2363" s="12">
        <v>45628</v>
      </c>
      <c r="D2363" s="4">
        <v>0.34825898148148149</v>
      </c>
      <c r="E23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63" t="s">
        <v>3</v>
      </c>
      <c r="G2363" s="2">
        <v>30.86</v>
      </c>
    </row>
    <row r="2364" spans="1:7" x14ac:dyDescent="0.25">
      <c r="A23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241202-MOR004</v>
      </c>
      <c r="B2364" s="1" t="str">
        <f>TEXT(Coffee_sales_clean[[#This Row],[Transaction Date]],"dddd")</f>
        <v>Monday</v>
      </c>
      <c r="C2364" s="12">
        <v>45628</v>
      </c>
      <c r="D2364" s="4">
        <v>0.37030618055555553</v>
      </c>
      <c r="E23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64" t="s">
        <v>4</v>
      </c>
      <c r="G2364" s="2">
        <v>35.76</v>
      </c>
    </row>
    <row r="2365" spans="1:7" x14ac:dyDescent="0.25">
      <c r="A23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241202-LUN001</v>
      </c>
      <c r="B2365" s="1" t="str">
        <f>TEXT(Coffee_sales_clean[[#This Row],[Transaction Date]],"dddd")</f>
        <v>Monday</v>
      </c>
      <c r="C2365" s="12">
        <v>45628</v>
      </c>
      <c r="D2365" s="4">
        <v>0.46140274305555556</v>
      </c>
      <c r="E23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65" t="s">
        <v>5</v>
      </c>
      <c r="G2365" s="2">
        <v>25.96</v>
      </c>
    </row>
    <row r="2366" spans="1:7" x14ac:dyDescent="0.25">
      <c r="A23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241202-AFT001</v>
      </c>
      <c r="B2366" s="1" t="str">
        <f>TEXT(Coffee_sales_clean[[#This Row],[Transaction Date]],"dddd")</f>
        <v>Monday</v>
      </c>
      <c r="C2366" s="12">
        <v>45628</v>
      </c>
      <c r="D2366" s="4">
        <v>0.64472159722222222</v>
      </c>
      <c r="E23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66" t="s">
        <v>6</v>
      </c>
      <c r="G2366" s="2">
        <v>21.06</v>
      </c>
    </row>
    <row r="2367" spans="1:7" x14ac:dyDescent="0.25">
      <c r="A23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241202-AFT002</v>
      </c>
      <c r="B2367" s="1" t="str">
        <f>TEXT(Coffee_sales_clean[[#This Row],[Transaction Date]],"dddd")</f>
        <v>Monday</v>
      </c>
      <c r="C2367" s="12">
        <v>45628</v>
      </c>
      <c r="D2367" s="4">
        <v>0.67527685185185182</v>
      </c>
      <c r="E23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67" t="s">
        <v>7</v>
      </c>
      <c r="G2367" s="2">
        <v>35.76</v>
      </c>
    </row>
    <row r="2368" spans="1:7" x14ac:dyDescent="0.25">
      <c r="A23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241202-EVE001</v>
      </c>
      <c r="B2368" s="1" t="str">
        <f>TEXT(Coffee_sales_clean[[#This Row],[Transaction Date]],"dddd")</f>
        <v>Monday</v>
      </c>
      <c r="C2368" s="12">
        <v>45628</v>
      </c>
      <c r="D2368" s="4">
        <v>0.73219554398148146</v>
      </c>
      <c r="E23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68" t="s">
        <v>2</v>
      </c>
      <c r="G2368" s="2">
        <v>25.96</v>
      </c>
    </row>
    <row r="2369" spans="1:7" x14ac:dyDescent="0.25">
      <c r="A23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241202-EVE002</v>
      </c>
      <c r="B2369" s="1" t="str">
        <f>TEXT(Coffee_sales_clean[[#This Row],[Transaction Date]],"dddd")</f>
        <v>Monday</v>
      </c>
      <c r="C2369" s="12">
        <v>45628</v>
      </c>
      <c r="D2369" s="4">
        <v>0.75037384259259254</v>
      </c>
      <c r="E23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369" t="s">
        <v>7</v>
      </c>
      <c r="G2369" s="2">
        <v>35.76</v>
      </c>
    </row>
    <row r="2370" spans="1:7" x14ac:dyDescent="0.25">
      <c r="A23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241203-MOR001</v>
      </c>
      <c r="B2370" s="1" t="str">
        <f>TEXT(Coffee_sales_clean[[#This Row],[Transaction Date]],"dddd")</f>
        <v>Tuesday</v>
      </c>
      <c r="C2370" s="12">
        <v>45629</v>
      </c>
      <c r="D2370" s="4">
        <v>0.34119373842592593</v>
      </c>
      <c r="E23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70" t="s">
        <v>0</v>
      </c>
      <c r="G2370" s="2">
        <v>35.76</v>
      </c>
    </row>
    <row r="2371" spans="1:7" x14ac:dyDescent="0.25">
      <c r="A23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241203-MOR002</v>
      </c>
      <c r="B2371" s="1" t="str">
        <f>TEXT(Coffee_sales_clean[[#This Row],[Transaction Date]],"dddd")</f>
        <v>Tuesday</v>
      </c>
      <c r="C2371" s="12">
        <v>45629</v>
      </c>
      <c r="D2371" s="4">
        <v>0.39132587962962961</v>
      </c>
      <c r="E23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71" t="s">
        <v>3</v>
      </c>
      <c r="G2371" s="2">
        <v>30.86</v>
      </c>
    </row>
    <row r="2372" spans="1:7" x14ac:dyDescent="0.25">
      <c r="A23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241203-MOR003</v>
      </c>
      <c r="B2372" s="1" t="str">
        <f>TEXT(Coffee_sales_clean[[#This Row],[Transaction Date]],"dddd")</f>
        <v>Tuesday</v>
      </c>
      <c r="C2372" s="12">
        <v>45629</v>
      </c>
      <c r="D2372" s="4">
        <v>0.39197998842592591</v>
      </c>
      <c r="E23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72" t="s">
        <v>3</v>
      </c>
      <c r="G2372" s="2">
        <v>30.86</v>
      </c>
    </row>
    <row r="2373" spans="1:7" x14ac:dyDescent="0.25">
      <c r="A23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241203-LUN001</v>
      </c>
      <c r="B2373" s="1" t="str">
        <f>TEXT(Coffee_sales_clean[[#This Row],[Transaction Date]],"dddd")</f>
        <v>Tuesday</v>
      </c>
      <c r="C2373" s="12">
        <v>45629</v>
      </c>
      <c r="D2373" s="4">
        <v>0.47081499999999998</v>
      </c>
      <c r="E23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73" t="s">
        <v>2</v>
      </c>
      <c r="G2373" s="2">
        <v>25.96</v>
      </c>
    </row>
    <row r="2374" spans="1:7" x14ac:dyDescent="0.25">
      <c r="A23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241203-LUN002</v>
      </c>
      <c r="B2374" s="1" t="str">
        <f>TEXT(Coffee_sales_clean[[#This Row],[Transaction Date]],"dddd")</f>
        <v>Tuesday</v>
      </c>
      <c r="C2374" s="12">
        <v>45629</v>
      </c>
      <c r="D2374" s="4">
        <v>0.48758773148148149</v>
      </c>
      <c r="E23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74" t="s">
        <v>3</v>
      </c>
      <c r="G2374" s="2">
        <v>30.86</v>
      </c>
    </row>
    <row r="2375" spans="1:7" x14ac:dyDescent="0.25">
      <c r="A23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241203-LUN003</v>
      </c>
      <c r="B2375" s="1" t="str">
        <f>TEXT(Coffee_sales_clean[[#This Row],[Transaction Date]],"dddd")</f>
        <v>Tuesday</v>
      </c>
      <c r="C2375" s="12">
        <v>45629</v>
      </c>
      <c r="D2375" s="4">
        <v>0.4883753935185185</v>
      </c>
      <c r="E23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75" t="s">
        <v>3</v>
      </c>
      <c r="G2375" s="2">
        <v>30.86</v>
      </c>
    </row>
    <row r="2376" spans="1:7" x14ac:dyDescent="0.25">
      <c r="A23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241203-LUN004</v>
      </c>
      <c r="B2376" s="1" t="str">
        <f>TEXT(Coffee_sales_clean[[#This Row],[Transaction Date]],"dddd")</f>
        <v>Tuesday</v>
      </c>
      <c r="C2376" s="12">
        <v>45629</v>
      </c>
      <c r="D2376" s="4">
        <v>0.49021334490740742</v>
      </c>
      <c r="E23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76" t="s">
        <v>3</v>
      </c>
      <c r="G2376" s="2">
        <v>30.86</v>
      </c>
    </row>
    <row r="2377" spans="1:7" x14ac:dyDescent="0.25">
      <c r="A23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241203-LAT001</v>
      </c>
      <c r="B2377" s="1" t="str">
        <f>TEXT(Coffee_sales_clean[[#This Row],[Transaction Date]],"dddd")</f>
        <v>Tuesday</v>
      </c>
      <c r="C2377" s="12">
        <v>45629</v>
      </c>
      <c r="D2377" s="4">
        <v>0.86870083333333337</v>
      </c>
      <c r="E23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77" t="s">
        <v>4</v>
      </c>
      <c r="G2377" s="2">
        <v>35.76</v>
      </c>
    </row>
    <row r="2378" spans="1:7" x14ac:dyDescent="0.25">
      <c r="A23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241203-LAT002</v>
      </c>
      <c r="B2378" s="1" t="str">
        <f>TEXT(Coffee_sales_clean[[#This Row],[Transaction Date]],"dddd")</f>
        <v>Tuesday</v>
      </c>
      <c r="C2378" s="12">
        <v>45629</v>
      </c>
      <c r="D2378" s="4">
        <v>0.89811188657407404</v>
      </c>
      <c r="E23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78" t="s">
        <v>0</v>
      </c>
      <c r="G2378" s="2">
        <v>35.76</v>
      </c>
    </row>
    <row r="2379" spans="1:7" x14ac:dyDescent="0.25">
      <c r="A23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241203-LAT003</v>
      </c>
      <c r="B2379" s="1" t="str">
        <f>TEXT(Coffee_sales_clean[[#This Row],[Transaction Date]],"dddd")</f>
        <v>Tuesday</v>
      </c>
      <c r="C2379" s="12">
        <v>45629</v>
      </c>
      <c r="D2379" s="4">
        <v>0.89876302083333337</v>
      </c>
      <c r="E23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79" t="s">
        <v>7</v>
      </c>
      <c r="G2379" s="2">
        <v>35.76</v>
      </c>
    </row>
    <row r="2380" spans="1:7" x14ac:dyDescent="0.25">
      <c r="A23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241203-LAT004</v>
      </c>
      <c r="B2380" s="1" t="str">
        <f>TEXT(Coffee_sales_clean[[#This Row],[Transaction Date]],"dddd")</f>
        <v>Tuesday</v>
      </c>
      <c r="C2380" s="12">
        <v>45629</v>
      </c>
      <c r="D2380" s="4">
        <v>0.8995237615740741</v>
      </c>
      <c r="E23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80" t="s">
        <v>1</v>
      </c>
      <c r="G2380" s="2">
        <v>35.76</v>
      </c>
    </row>
    <row r="2381" spans="1:7" x14ac:dyDescent="0.25">
      <c r="A23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241203-LAT005</v>
      </c>
      <c r="B2381" s="1" t="str">
        <f>TEXT(Coffee_sales_clean[[#This Row],[Transaction Date]],"dddd")</f>
        <v>Tuesday</v>
      </c>
      <c r="C2381" s="12">
        <v>45629</v>
      </c>
      <c r="D2381" s="4">
        <v>0.93002052083333331</v>
      </c>
      <c r="E23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81" t="s">
        <v>3</v>
      </c>
      <c r="G2381" s="2">
        <v>30.86</v>
      </c>
    </row>
    <row r="2382" spans="1:7" x14ac:dyDescent="0.25">
      <c r="A23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241203-LAT006</v>
      </c>
      <c r="B2382" s="1" t="str">
        <f>TEXT(Coffee_sales_clean[[#This Row],[Transaction Date]],"dddd")</f>
        <v>Tuesday</v>
      </c>
      <c r="C2382" s="12">
        <v>45629</v>
      </c>
      <c r="D2382" s="4">
        <v>0.93173708333333338</v>
      </c>
      <c r="E23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382" t="s">
        <v>7</v>
      </c>
      <c r="G2382" s="2">
        <v>35.76</v>
      </c>
    </row>
    <row r="2383" spans="1:7" x14ac:dyDescent="0.25">
      <c r="A23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241204-MOR001</v>
      </c>
      <c r="B2383" s="1" t="str">
        <f>TEXT(Coffee_sales_clean[[#This Row],[Transaction Date]],"dddd")</f>
        <v>Wednesday</v>
      </c>
      <c r="C2383" s="12">
        <v>45630</v>
      </c>
      <c r="D2383" s="4">
        <v>0.35611018518518517</v>
      </c>
      <c r="E23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83" t="s">
        <v>5</v>
      </c>
      <c r="G2383" s="2">
        <v>25.96</v>
      </c>
    </row>
    <row r="2384" spans="1:7" x14ac:dyDescent="0.25">
      <c r="A23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241204-MOR002</v>
      </c>
      <c r="B2384" s="1" t="str">
        <f>TEXT(Coffee_sales_clean[[#This Row],[Transaction Date]],"dddd")</f>
        <v>Wednesday</v>
      </c>
      <c r="C2384" s="12">
        <v>45630</v>
      </c>
      <c r="D2384" s="4">
        <v>0.36840583333333332</v>
      </c>
      <c r="E23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84" t="s">
        <v>0</v>
      </c>
      <c r="G2384" s="2">
        <v>35.76</v>
      </c>
    </row>
    <row r="2385" spans="1:7" x14ac:dyDescent="0.25">
      <c r="A23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241204-MOR003</v>
      </c>
      <c r="B2385" s="1" t="str">
        <f>TEXT(Coffee_sales_clean[[#This Row],[Transaction Date]],"dddd")</f>
        <v>Wednesday</v>
      </c>
      <c r="C2385" s="12">
        <v>45630</v>
      </c>
      <c r="D2385" s="4">
        <v>0.36961814814814814</v>
      </c>
      <c r="E23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85" t="s">
        <v>0</v>
      </c>
      <c r="G2385" s="2">
        <v>35.76</v>
      </c>
    </row>
    <row r="2386" spans="1:7" x14ac:dyDescent="0.25">
      <c r="A23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241204-MOR004</v>
      </c>
      <c r="B2386" s="1" t="str">
        <f>TEXT(Coffee_sales_clean[[#This Row],[Transaction Date]],"dddd")</f>
        <v>Wednesday</v>
      </c>
      <c r="C2386" s="12">
        <v>45630</v>
      </c>
      <c r="D2386" s="4">
        <v>0.37794149305555558</v>
      </c>
      <c r="E23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86" t="s">
        <v>2</v>
      </c>
      <c r="G2386" s="2">
        <v>25.96</v>
      </c>
    </row>
    <row r="2387" spans="1:7" x14ac:dyDescent="0.25">
      <c r="A23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241204-MOR005</v>
      </c>
      <c r="B2387" s="1" t="str">
        <f>TEXT(Coffee_sales_clean[[#This Row],[Transaction Date]],"dddd")</f>
        <v>Wednesday</v>
      </c>
      <c r="C2387" s="12">
        <v>45630</v>
      </c>
      <c r="D2387" s="4">
        <v>0.43265495370370372</v>
      </c>
      <c r="E23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87" t="s">
        <v>3</v>
      </c>
      <c r="G2387" s="2">
        <v>30.86</v>
      </c>
    </row>
    <row r="2388" spans="1:7" x14ac:dyDescent="0.25">
      <c r="A23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241204-MOR006</v>
      </c>
      <c r="B2388" s="1" t="str">
        <f>TEXT(Coffee_sales_clean[[#This Row],[Transaction Date]],"dddd")</f>
        <v>Wednesday</v>
      </c>
      <c r="C2388" s="12">
        <v>45630</v>
      </c>
      <c r="D2388" s="4">
        <v>0.43342581018518517</v>
      </c>
      <c r="E23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88" t="s">
        <v>3</v>
      </c>
      <c r="G2388" s="2">
        <v>30.86</v>
      </c>
    </row>
    <row r="2389" spans="1:7" x14ac:dyDescent="0.25">
      <c r="A23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241204-MOR007</v>
      </c>
      <c r="B2389" s="1" t="str">
        <f>TEXT(Coffee_sales_clean[[#This Row],[Transaction Date]],"dddd")</f>
        <v>Wednesday</v>
      </c>
      <c r="C2389" s="12">
        <v>45630</v>
      </c>
      <c r="D2389" s="4">
        <v>0.43539063657407406</v>
      </c>
      <c r="E23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89" t="s">
        <v>3</v>
      </c>
      <c r="G2389" s="2">
        <v>30.86</v>
      </c>
    </row>
    <row r="2390" spans="1:7" x14ac:dyDescent="0.25">
      <c r="A23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241204-MOR008</v>
      </c>
      <c r="B2390" s="1" t="str">
        <f>TEXT(Coffee_sales_clean[[#This Row],[Transaction Date]],"dddd")</f>
        <v>Wednesday</v>
      </c>
      <c r="C2390" s="12">
        <v>45630</v>
      </c>
      <c r="D2390" s="4">
        <v>0.43735644675925928</v>
      </c>
      <c r="E23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90" t="s">
        <v>1</v>
      </c>
      <c r="G2390" s="2">
        <v>35.76</v>
      </c>
    </row>
    <row r="2391" spans="1:7" x14ac:dyDescent="0.25">
      <c r="A23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241204-LUN001</v>
      </c>
      <c r="B2391" s="1" t="str">
        <f>TEXT(Coffee_sales_clean[[#This Row],[Transaction Date]],"dddd")</f>
        <v>Wednesday</v>
      </c>
      <c r="C2391" s="12">
        <v>45630</v>
      </c>
      <c r="D2391" s="4">
        <v>0.49025142361111113</v>
      </c>
      <c r="E23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91" t="s">
        <v>3</v>
      </c>
      <c r="G2391" s="2">
        <v>30.86</v>
      </c>
    </row>
    <row r="2392" spans="1:7" x14ac:dyDescent="0.25">
      <c r="A23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241204-AFT001</v>
      </c>
      <c r="B2392" s="1" t="str">
        <f>TEXT(Coffee_sales_clean[[#This Row],[Transaction Date]],"dddd")</f>
        <v>Wednesday</v>
      </c>
      <c r="C2392" s="12">
        <v>45630</v>
      </c>
      <c r="D2392" s="4">
        <v>0.60688318287037035</v>
      </c>
      <c r="E23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92" t="s">
        <v>1</v>
      </c>
      <c r="G2392" s="2">
        <v>35.76</v>
      </c>
    </row>
    <row r="2393" spans="1:7" x14ac:dyDescent="0.25">
      <c r="A23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241205-MOR001</v>
      </c>
      <c r="B2393" s="1" t="str">
        <f>TEXT(Coffee_sales_clean[[#This Row],[Transaction Date]],"dddd")</f>
        <v>Thursday</v>
      </c>
      <c r="C2393" s="12">
        <v>45631</v>
      </c>
      <c r="D2393" s="4">
        <v>0.3706977662037037</v>
      </c>
      <c r="E23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93" t="s">
        <v>2</v>
      </c>
      <c r="G2393" s="2">
        <v>25.96</v>
      </c>
    </row>
    <row r="2394" spans="1:7" x14ac:dyDescent="0.25">
      <c r="A23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241205-MOR002</v>
      </c>
      <c r="B2394" s="1" t="str">
        <f>TEXT(Coffee_sales_clean[[#This Row],[Transaction Date]],"dddd")</f>
        <v>Thursday</v>
      </c>
      <c r="C2394" s="12">
        <v>45631</v>
      </c>
      <c r="D2394" s="4">
        <v>0.38922262731481483</v>
      </c>
      <c r="E23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94" t="s">
        <v>5</v>
      </c>
      <c r="G2394" s="2">
        <v>25.96</v>
      </c>
    </row>
    <row r="2395" spans="1:7" x14ac:dyDescent="0.25">
      <c r="A23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241205-MOR003</v>
      </c>
      <c r="B2395" s="1" t="str">
        <f>TEXT(Coffee_sales_clean[[#This Row],[Transaction Date]],"dddd")</f>
        <v>Thursday</v>
      </c>
      <c r="C2395" s="12">
        <v>45631</v>
      </c>
      <c r="D2395" s="4">
        <v>0.41864876157407405</v>
      </c>
      <c r="E23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95" t="s">
        <v>3</v>
      </c>
      <c r="G2395" s="2">
        <v>30.86</v>
      </c>
    </row>
    <row r="2396" spans="1:7" x14ac:dyDescent="0.25">
      <c r="A23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241205-MOR004</v>
      </c>
      <c r="B2396" s="1" t="str">
        <f>TEXT(Coffee_sales_clean[[#This Row],[Transaction Date]],"dddd")</f>
        <v>Thursday</v>
      </c>
      <c r="C2396" s="12">
        <v>45631</v>
      </c>
      <c r="D2396" s="4">
        <v>0.42020298611111112</v>
      </c>
      <c r="E23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396" t="s">
        <v>3</v>
      </c>
      <c r="G2396" s="2">
        <v>30.86</v>
      </c>
    </row>
    <row r="2397" spans="1:7" x14ac:dyDescent="0.25">
      <c r="A23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241205-LUN001</v>
      </c>
      <c r="B2397" s="1" t="str">
        <f>TEXT(Coffee_sales_clean[[#This Row],[Transaction Date]],"dddd")</f>
        <v>Thursday</v>
      </c>
      <c r="C2397" s="12">
        <v>45631</v>
      </c>
      <c r="D2397" s="4">
        <v>0.48053540509259257</v>
      </c>
      <c r="E23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97" t="s">
        <v>0</v>
      </c>
      <c r="G2397" s="2">
        <v>35.76</v>
      </c>
    </row>
    <row r="2398" spans="1:7" x14ac:dyDescent="0.25">
      <c r="A23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241205-LUN002</v>
      </c>
      <c r="B2398" s="1" t="str">
        <f>TEXT(Coffee_sales_clean[[#This Row],[Transaction Date]],"dddd")</f>
        <v>Thursday</v>
      </c>
      <c r="C2398" s="12">
        <v>45631</v>
      </c>
      <c r="D2398" s="4">
        <v>0.49357126157407405</v>
      </c>
      <c r="E23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398" t="s">
        <v>2</v>
      </c>
      <c r="G2398" s="2">
        <v>25.96</v>
      </c>
    </row>
    <row r="2399" spans="1:7" x14ac:dyDescent="0.25">
      <c r="A23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241205-AFT001</v>
      </c>
      <c r="B2399" s="1" t="str">
        <f>TEXT(Coffee_sales_clean[[#This Row],[Transaction Date]],"dddd")</f>
        <v>Thursday</v>
      </c>
      <c r="C2399" s="12">
        <v>45631</v>
      </c>
      <c r="D2399" s="4">
        <v>0.60484192129629633</v>
      </c>
      <c r="E23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399" t="s">
        <v>7</v>
      </c>
      <c r="G2399" s="2">
        <v>35.76</v>
      </c>
    </row>
    <row r="2400" spans="1:7" x14ac:dyDescent="0.25">
      <c r="A24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241205-AFT002</v>
      </c>
      <c r="B2400" s="1" t="str">
        <f>TEXT(Coffee_sales_clean[[#This Row],[Transaction Date]],"dddd")</f>
        <v>Thursday</v>
      </c>
      <c r="C2400" s="12">
        <v>45631</v>
      </c>
      <c r="D2400" s="4">
        <v>0.63980863425925927</v>
      </c>
      <c r="E24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00" t="s">
        <v>0</v>
      </c>
      <c r="G2400" s="2">
        <v>35.76</v>
      </c>
    </row>
    <row r="2401" spans="1:7" x14ac:dyDescent="0.25">
      <c r="A24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241205-AFT003</v>
      </c>
      <c r="B2401" s="1" t="str">
        <f>TEXT(Coffee_sales_clean[[#This Row],[Transaction Date]],"dddd")</f>
        <v>Thursday</v>
      </c>
      <c r="C2401" s="12">
        <v>45631</v>
      </c>
      <c r="D2401" s="4">
        <v>0.66817146990740739</v>
      </c>
      <c r="E24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01" t="s">
        <v>0</v>
      </c>
      <c r="G2401" s="2">
        <v>35.76</v>
      </c>
    </row>
    <row r="2402" spans="1:7" x14ac:dyDescent="0.25">
      <c r="A24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241206-LUN001</v>
      </c>
      <c r="B2402" s="1" t="str">
        <f>TEXT(Coffee_sales_clean[[#This Row],[Transaction Date]],"dddd")</f>
        <v>Friday</v>
      </c>
      <c r="C2402" s="12">
        <v>45632</v>
      </c>
      <c r="D2402" s="4">
        <v>0.4877140972222222</v>
      </c>
      <c r="E24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02" t="s">
        <v>0</v>
      </c>
      <c r="G2402" s="2">
        <v>35.76</v>
      </c>
    </row>
    <row r="2403" spans="1:7" x14ac:dyDescent="0.25">
      <c r="A24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241206-AFT001</v>
      </c>
      <c r="B2403" s="1" t="str">
        <f>TEXT(Coffee_sales_clean[[#This Row],[Transaction Date]],"dddd")</f>
        <v>Friday</v>
      </c>
      <c r="C2403" s="12">
        <v>45632</v>
      </c>
      <c r="D2403" s="4">
        <v>0.68886603009259262</v>
      </c>
      <c r="E24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03" t="s">
        <v>1</v>
      </c>
      <c r="G2403" s="2">
        <v>35.76</v>
      </c>
    </row>
    <row r="2404" spans="1:7" x14ac:dyDescent="0.25">
      <c r="A24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241206-LAT001</v>
      </c>
      <c r="B2404" s="1" t="str">
        <f>TEXT(Coffee_sales_clean[[#This Row],[Transaction Date]],"dddd")</f>
        <v>Friday</v>
      </c>
      <c r="C2404" s="12">
        <v>45632</v>
      </c>
      <c r="D2404" s="4">
        <v>0.93788513888888891</v>
      </c>
      <c r="E24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04" t="s">
        <v>0</v>
      </c>
      <c r="G2404" s="2">
        <v>35.76</v>
      </c>
    </row>
    <row r="2405" spans="1:7" x14ac:dyDescent="0.25">
      <c r="A24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241206-LAT002</v>
      </c>
      <c r="B2405" s="1" t="str">
        <f>TEXT(Coffee_sales_clean[[#This Row],[Transaction Date]],"dddd")</f>
        <v>Friday</v>
      </c>
      <c r="C2405" s="12">
        <v>45632</v>
      </c>
      <c r="D2405" s="4">
        <v>0.93854168981481478</v>
      </c>
      <c r="E24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05" t="s">
        <v>1</v>
      </c>
      <c r="G2405" s="2">
        <v>35.76</v>
      </c>
    </row>
    <row r="2406" spans="1:7" x14ac:dyDescent="0.25">
      <c r="A24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241207-LUN001</v>
      </c>
      <c r="B2406" s="1" t="str">
        <f>TEXT(Coffee_sales_clean[[#This Row],[Transaction Date]],"dddd")</f>
        <v>Saturday</v>
      </c>
      <c r="C2406" s="12">
        <v>45633</v>
      </c>
      <c r="D2406" s="4">
        <v>0.4702562847222222</v>
      </c>
      <c r="E24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06" t="s">
        <v>3</v>
      </c>
      <c r="G2406" s="2">
        <v>30.86</v>
      </c>
    </row>
    <row r="2407" spans="1:7" x14ac:dyDescent="0.25">
      <c r="A24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241207-AFT001</v>
      </c>
      <c r="B2407" s="1" t="str">
        <f>TEXT(Coffee_sales_clean[[#This Row],[Transaction Date]],"dddd")</f>
        <v>Saturday</v>
      </c>
      <c r="C2407" s="12">
        <v>45633</v>
      </c>
      <c r="D2407" s="4">
        <v>0.59494089120370375</v>
      </c>
      <c r="E24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07" t="s">
        <v>2</v>
      </c>
      <c r="G2407" s="2">
        <v>25.96</v>
      </c>
    </row>
    <row r="2408" spans="1:7" x14ac:dyDescent="0.25">
      <c r="A24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241207-AFT002</v>
      </c>
      <c r="B2408" s="1" t="str">
        <f>TEXT(Coffee_sales_clean[[#This Row],[Transaction Date]],"dddd")</f>
        <v>Saturday</v>
      </c>
      <c r="C2408" s="12">
        <v>45633</v>
      </c>
      <c r="D2408" s="4">
        <v>0.65561181712962968</v>
      </c>
      <c r="E24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08" t="s">
        <v>0</v>
      </c>
      <c r="G2408" s="2">
        <v>35.76</v>
      </c>
    </row>
    <row r="2409" spans="1:7" x14ac:dyDescent="0.25">
      <c r="A24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241207-EVE001</v>
      </c>
      <c r="B2409" s="1" t="str">
        <f>TEXT(Coffee_sales_clean[[#This Row],[Transaction Date]],"dddd")</f>
        <v>Saturday</v>
      </c>
      <c r="C2409" s="12">
        <v>45633</v>
      </c>
      <c r="D2409" s="4">
        <v>0.79946171296296298</v>
      </c>
      <c r="E24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09" t="s">
        <v>7</v>
      </c>
      <c r="G2409" s="2">
        <v>35.76</v>
      </c>
    </row>
    <row r="2410" spans="1:7" x14ac:dyDescent="0.25">
      <c r="A24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241207-LAT001</v>
      </c>
      <c r="B2410" s="1" t="str">
        <f>TEXT(Coffee_sales_clean[[#This Row],[Transaction Date]],"dddd")</f>
        <v>Saturday</v>
      </c>
      <c r="C2410" s="12">
        <v>45633</v>
      </c>
      <c r="D2410" s="4">
        <v>0.91678233796296293</v>
      </c>
      <c r="E24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10" t="s">
        <v>3</v>
      </c>
      <c r="G2410" s="2">
        <v>30.86</v>
      </c>
    </row>
    <row r="2411" spans="1:7" x14ac:dyDescent="0.25">
      <c r="A24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241207-LAT002</v>
      </c>
      <c r="B2411" s="1" t="str">
        <f>TEXT(Coffee_sales_clean[[#This Row],[Transaction Date]],"dddd")</f>
        <v>Saturday</v>
      </c>
      <c r="C2411" s="12">
        <v>45633</v>
      </c>
      <c r="D2411" s="4">
        <v>0.93630888888888886</v>
      </c>
      <c r="E24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11" t="s">
        <v>2</v>
      </c>
      <c r="G2411" s="2">
        <v>25.96</v>
      </c>
    </row>
    <row r="2412" spans="1:7" x14ac:dyDescent="0.25">
      <c r="A24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241208-MOR001</v>
      </c>
      <c r="B2412" s="1" t="str">
        <f>TEXT(Coffee_sales_clean[[#This Row],[Transaction Date]],"dddd")</f>
        <v>Sunday</v>
      </c>
      <c r="C2412" s="12">
        <v>45634</v>
      </c>
      <c r="D2412" s="4">
        <v>0.3537647337962963</v>
      </c>
      <c r="E24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12" t="s">
        <v>5</v>
      </c>
      <c r="G2412" s="2">
        <v>25.96</v>
      </c>
    </row>
    <row r="2413" spans="1:7" x14ac:dyDescent="0.25">
      <c r="A24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241208-MOR002</v>
      </c>
      <c r="B2413" s="1" t="str">
        <f>TEXT(Coffee_sales_clean[[#This Row],[Transaction Date]],"dddd")</f>
        <v>Sunday</v>
      </c>
      <c r="C2413" s="12">
        <v>45634</v>
      </c>
      <c r="D2413" s="4">
        <v>0.44627499999999998</v>
      </c>
      <c r="E24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13" t="s">
        <v>0</v>
      </c>
      <c r="G2413" s="2">
        <v>35.76</v>
      </c>
    </row>
    <row r="2414" spans="1:7" x14ac:dyDescent="0.25">
      <c r="A24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241208-MOR003</v>
      </c>
      <c r="B2414" s="1" t="str">
        <f>TEXT(Coffee_sales_clean[[#This Row],[Transaction Date]],"dddd")</f>
        <v>Sunday</v>
      </c>
      <c r="C2414" s="12">
        <v>45634</v>
      </c>
      <c r="D2414" s="4">
        <v>0.44702229166666668</v>
      </c>
      <c r="E24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14" t="s">
        <v>7</v>
      </c>
      <c r="G2414" s="2">
        <v>35.76</v>
      </c>
    </row>
    <row r="2415" spans="1:7" x14ac:dyDescent="0.25">
      <c r="A24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241208-LUN001</v>
      </c>
      <c r="B2415" s="1" t="str">
        <f>TEXT(Coffee_sales_clean[[#This Row],[Transaction Date]],"dddd")</f>
        <v>Sunday</v>
      </c>
      <c r="C2415" s="12">
        <v>45634</v>
      </c>
      <c r="D2415" s="4">
        <v>0.53588975694444441</v>
      </c>
      <c r="E24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15" t="s">
        <v>5</v>
      </c>
      <c r="G2415" s="2">
        <v>25.96</v>
      </c>
    </row>
    <row r="2416" spans="1:7" x14ac:dyDescent="0.25">
      <c r="A24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241208-LUN002</v>
      </c>
      <c r="B2416" s="1" t="str">
        <f>TEXT(Coffee_sales_clean[[#This Row],[Transaction Date]],"dddd")</f>
        <v>Sunday</v>
      </c>
      <c r="C2416" s="12">
        <v>45634</v>
      </c>
      <c r="D2416" s="4">
        <v>0.54347456018518514</v>
      </c>
      <c r="E24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16" t="s">
        <v>3</v>
      </c>
      <c r="G2416" s="2">
        <v>30.86</v>
      </c>
    </row>
    <row r="2417" spans="1:7" x14ac:dyDescent="0.25">
      <c r="A24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241208-LUN003</v>
      </c>
      <c r="B2417" s="1" t="str">
        <f>TEXT(Coffee_sales_clean[[#This Row],[Transaction Date]],"dddd")</f>
        <v>Sunday</v>
      </c>
      <c r="C2417" s="12">
        <v>45634</v>
      </c>
      <c r="D2417" s="4">
        <v>0.54419814814814815</v>
      </c>
      <c r="E24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17" t="s">
        <v>3</v>
      </c>
      <c r="G2417" s="2">
        <v>30.86</v>
      </c>
    </row>
    <row r="2418" spans="1:7" x14ac:dyDescent="0.25">
      <c r="A24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241208-EVE001</v>
      </c>
      <c r="B2418" s="1" t="str">
        <f>TEXT(Coffee_sales_clean[[#This Row],[Transaction Date]],"dddd")</f>
        <v>Sunday</v>
      </c>
      <c r="C2418" s="12">
        <v>45634</v>
      </c>
      <c r="D2418" s="4">
        <v>0.7267279166666667</v>
      </c>
      <c r="E24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18" t="s">
        <v>7</v>
      </c>
      <c r="G2418" s="2">
        <v>35.76</v>
      </c>
    </row>
    <row r="2419" spans="1:7" x14ac:dyDescent="0.25">
      <c r="A24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241208-EVE002</v>
      </c>
      <c r="B2419" s="1" t="str">
        <f>TEXT(Coffee_sales_clean[[#This Row],[Transaction Date]],"dddd")</f>
        <v>Sunday</v>
      </c>
      <c r="C2419" s="12">
        <v>45634</v>
      </c>
      <c r="D2419" s="4">
        <v>0.77903649305555556</v>
      </c>
      <c r="E24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19" t="s">
        <v>6</v>
      </c>
      <c r="G2419" s="2">
        <v>21.06</v>
      </c>
    </row>
    <row r="2420" spans="1:7" x14ac:dyDescent="0.25">
      <c r="A24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241208-LAT001</v>
      </c>
      <c r="B2420" s="1" t="str">
        <f>TEXT(Coffee_sales_clean[[#This Row],[Transaction Date]],"dddd")</f>
        <v>Sunday</v>
      </c>
      <c r="C2420" s="12">
        <v>45634</v>
      </c>
      <c r="D2420" s="4">
        <v>0.86619137731481477</v>
      </c>
      <c r="E24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20" t="s">
        <v>7</v>
      </c>
      <c r="G2420" s="2">
        <v>35.76</v>
      </c>
    </row>
    <row r="2421" spans="1:7" x14ac:dyDescent="0.25">
      <c r="A24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241208-LAT002</v>
      </c>
      <c r="B2421" s="1" t="str">
        <f>TEXT(Coffee_sales_clean[[#This Row],[Transaction Date]],"dddd")</f>
        <v>Sunday</v>
      </c>
      <c r="C2421" s="12">
        <v>45634</v>
      </c>
      <c r="D2421" s="4">
        <v>0.89479258101851855</v>
      </c>
      <c r="E24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21" t="s">
        <v>3</v>
      </c>
      <c r="G2421" s="2">
        <v>30.86</v>
      </c>
    </row>
    <row r="2422" spans="1:7" x14ac:dyDescent="0.25">
      <c r="A24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241208-LAT003</v>
      </c>
      <c r="B2422" s="1" t="str">
        <f>TEXT(Coffee_sales_clean[[#This Row],[Transaction Date]],"dddd")</f>
        <v>Sunday</v>
      </c>
      <c r="C2422" s="12">
        <v>45634</v>
      </c>
      <c r="D2422" s="4">
        <v>0.90374447916666667</v>
      </c>
      <c r="E24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22" t="s">
        <v>3</v>
      </c>
      <c r="G2422" s="2">
        <v>30.86</v>
      </c>
    </row>
    <row r="2423" spans="1:7" x14ac:dyDescent="0.25">
      <c r="A24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241209-MOR001</v>
      </c>
      <c r="B2423" s="1" t="str">
        <f>TEXT(Coffee_sales_clean[[#This Row],[Transaction Date]],"dddd")</f>
        <v>Monday</v>
      </c>
      <c r="C2423" s="12">
        <v>45635</v>
      </c>
      <c r="D2423" s="4">
        <v>0.35602789351851855</v>
      </c>
      <c r="E24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23" t="s">
        <v>7</v>
      </c>
      <c r="G2423" s="2">
        <v>35.76</v>
      </c>
    </row>
    <row r="2424" spans="1:7" x14ac:dyDescent="0.25">
      <c r="A24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241209-MOR002</v>
      </c>
      <c r="B2424" s="1" t="str">
        <f>TEXT(Coffee_sales_clean[[#This Row],[Transaction Date]],"dddd")</f>
        <v>Monday</v>
      </c>
      <c r="C2424" s="12">
        <v>45635</v>
      </c>
      <c r="D2424" s="4">
        <v>0.38362467592592592</v>
      </c>
      <c r="E24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24" t="s">
        <v>2</v>
      </c>
      <c r="G2424" s="2">
        <v>25.96</v>
      </c>
    </row>
    <row r="2425" spans="1:7" x14ac:dyDescent="0.25">
      <c r="A24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241209-MOR003</v>
      </c>
      <c r="B2425" s="1" t="str">
        <f>TEXT(Coffee_sales_clean[[#This Row],[Transaction Date]],"dddd")</f>
        <v>Monday</v>
      </c>
      <c r="C2425" s="12">
        <v>45635</v>
      </c>
      <c r="D2425" s="4">
        <v>0.39858121527777779</v>
      </c>
      <c r="E24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25" t="s">
        <v>3</v>
      </c>
      <c r="G2425" s="2">
        <v>30.86</v>
      </c>
    </row>
    <row r="2426" spans="1:7" x14ac:dyDescent="0.25">
      <c r="A24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241209-LUN001</v>
      </c>
      <c r="B2426" s="1" t="str">
        <f>TEXT(Coffee_sales_clean[[#This Row],[Transaction Date]],"dddd")</f>
        <v>Monday</v>
      </c>
      <c r="C2426" s="12">
        <v>45635</v>
      </c>
      <c r="D2426" s="4">
        <v>0.54230223379629627</v>
      </c>
      <c r="E24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26" t="s">
        <v>5</v>
      </c>
      <c r="G2426" s="2">
        <v>25.96</v>
      </c>
    </row>
    <row r="2427" spans="1:7" x14ac:dyDescent="0.25">
      <c r="A24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241209-LAT001</v>
      </c>
      <c r="B2427" s="1" t="str">
        <f>TEXT(Coffee_sales_clean[[#This Row],[Transaction Date]],"dddd")</f>
        <v>Monday</v>
      </c>
      <c r="C2427" s="12">
        <v>45635</v>
      </c>
      <c r="D2427" s="4">
        <v>0.890176724537037</v>
      </c>
      <c r="E24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27" t="s">
        <v>4</v>
      </c>
      <c r="G2427" s="2">
        <v>35.76</v>
      </c>
    </row>
    <row r="2428" spans="1:7" x14ac:dyDescent="0.25">
      <c r="A24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241210-LUN001</v>
      </c>
      <c r="B2428" s="1" t="str">
        <f>TEXT(Coffee_sales_clean[[#This Row],[Transaction Date]],"dddd")</f>
        <v>Tuesday</v>
      </c>
      <c r="C2428" s="12">
        <v>45636</v>
      </c>
      <c r="D2428" s="4">
        <v>0.5179369791666667</v>
      </c>
      <c r="E24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28" t="s">
        <v>5</v>
      </c>
      <c r="G2428" s="2">
        <v>25.96</v>
      </c>
    </row>
    <row r="2429" spans="1:7" x14ac:dyDescent="0.25">
      <c r="A24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241210-EVE001</v>
      </c>
      <c r="B2429" s="1" t="str">
        <f>TEXT(Coffee_sales_clean[[#This Row],[Transaction Date]],"dddd")</f>
        <v>Tuesday</v>
      </c>
      <c r="C2429" s="12">
        <v>45636</v>
      </c>
      <c r="D2429" s="4">
        <v>0.76525278935185181</v>
      </c>
      <c r="E24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29" t="s">
        <v>1</v>
      </c>
      <c r="G2429" s="2">
        <v>35.76</v>
      </c>
    </row>
    <row r="2430" spans="1:7" x14ac:dyDescent="0.25">
      <c r="A24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241211-MOR001</v>
      </c>
      <c r="B2430" s="1" t="str">
        <f>TEXT(Coffee_sales_clean[[#This Row],[Transaction Date]],"dddd")</f>
        <v>Wednesday</v>
      </c>
      <c r="C2430" s="12">
        <v>45637</v>
      </c>
      <c r="D2430" s="4">
        <v>0.32622672453703705</v>
      </c>
      <c r="E24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30" t="s">
        <v>0</v>
      </c>
      <c r="G2430" s="2">
        <v>35.76</v>
      </c>
    </row>
    <row r="2431" spans="1:7" x14ac:dyDescent="0.25">
      <c r="A24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241211-MOR002</v>
      </c>
      <c r="B2431" s="1" t="str">
        <f>TEXT(Coffee_sales_clean[[#This Row],[Transaction Date]],"dddd")</f>
        <v>Wednesday</v>
      </c>
      <c r="C2431" s="12">
        <v>45637</v>
      </c>
      <c r="D2431" s="4">
        <v>0.4484712847222222</v>
      </c>
      <c r="E24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31" t="s">
        <v>5</v>
      </c>
      <c r="G2431" s="2">
        <v>25.96</v>
      </c>
    </row>
    <row r="2432" spans="1:7" x14ac:dyDescent="0.25">
      <c r="A24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241211-LUN001</v>
      </c>
      <c r="B2432" s="1" t="str">
        <f>TEXT(Coffee_sales_clean[[#This Row],[Transaction Date]],"dddd")</f>
        <v>Wednesday</v>
      </c>
      <c r="C2432" s="12">
        <v>45637</v>
      </c>
      <c r="D2432" s="4">
        <v>0.5091003819444444</v>
      </c>
      <c r="E24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32" t="s">
        <v>1</v>
      </c>
      <c r="G2432" s="2">
        <v>35.76</v>
      </c>
    </row>
    <row r="2433" spans="1:7" x14ac:dyDescent="0.25">
      <c r="A24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241211-LUN002</v>
      </c>
      <c r="B2433" s="1" t="str">
        <f>TEXT(Coffee_sales_clean[[#This Row],[Transaction Date]],"dddd")</f>
        <v>Wednesday</v>
      </c>
      <c r="C2433" s="12">
        <v>45637</v>
      </c>
      <c r="D2433" s="4">
        <v>0.53944172453703698</v>
      </c>
      <c r="E24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33" t="s">
        <v>6</v>
      </c>
      <c r="G2433" s="2">
        <v>21.06</v>
      </c>
    </row>
    <row r="2434" spans="1:7" x14ac:dyDescent="0.25">
      <c r="A24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241211-EVE001</v>
      </c>
      <c r="B2434" s="1" t="str">
        <f>TEXT(Coffee_sales_clean[[#This Row],[Transaction Date]],"dddd")</f>
        <v>Wednesday</v>
      </c>
      <c r="C2434" s="12">
        <v>45637</v>
      </c>
      <c r="D2434" s="4">
        <v>0.74960017361111109</v>
      </c>
      <c r="E24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34" t="s">
        <v>4</v>
      </c>
      <c r="G2434" s="2">
        <v>35.76</v>
      </c>
    </row>
    <row r="2435" spans="1:7" x14ac:dyDescent="0.25">
      <c r="A24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241211-LAT001</v>
      </c>
      <c r="B2435" s="1" t="str">
        <f>TEXT(Coffee_sales_clean[[#This Row],[Transaction Date]],"dddd")</f>
        <v>Wednesday</v>
      </c>
      <c r="C2435" s="12">
        <v>45637</v>
      </c>
      <c r="D2435" s="4">
        <v>0.87578216435185186</v>
      </c>
      <c r="E24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35" t="s">
        <v>0</v>
      </c>
      <c r="G2435" s="2">
        <v>35.76</v>
      </c>
    </row>
    <row r="2436" spans="1:7" x14ac:dyDescent="0.25">
      <c r="A24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241211-LAT002</v>
      </c>
      <c r="B2436" s="1" t="str">
        <f>TEXT(Coffee_sales_clean[[#This Row],[Transaction Date]],"dddd")</f>
        <v>Wednesday</v>
      </c>
      <c r="C2436" s="12">
        <v>45637</v>
      </c>
      <c r="D2436" s="4">
        <v>0.88769898148148152</v>
      </c>
      <c r="E24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36" t="s">
        <v>0</v>
      </c>
      <c r="G2436" s="2">
        <v>35.76</v>
      </c>
    </row>
    <row r="2437" spans="1:7" x14ac:dyDescent="0.25">
      <c r="A24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241212-MOR001</v>
      </c>
      <c r="B2437" s="1" t="str">
        <f>TEXT(Coffee_sales_clean[[#This Row],[Transaction Date]],"dddd")</f>
        <v>Thursday</v>
      </c>
      <c r="C2437" s="12">
        <v>45638</v>
      </c>
      <c r="D2437" s="4">
        <v>0.33230539351851851</v>
      </c>
      <c r="E24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37" t="s">
        <v>3</v>
      </c>
      <c r="G2437" s="2">
        <v>30.86</v>
      </c>
    </row>
    <row r="2438" spans="1:7" x14ac:dyDescent="0.25">
      <c r="A24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241212-LUN001</v>
      </c>
      <c r="B2438" s="1" t="str">
        <f>TEXT(Coffee_sales_clean[[#This Row],[Transaction Date]],"dddd")</f>
        <v>Thursday</v>
      </c>
      <c r="C2438" s="12">
        <v>45638</v>
      </c>
      <c r="D2438" s="4">
        <v>0.53430175925925927</v>
      </c>
      <c r="E24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38" t="s">
        <v>2</v>
      </c>
      <c r="G2438" s="2">
        <v>25.96</v>
      </c>
    </row>
    <row r="2439" spans="1:7" x14ac:dyDescent="0.25">
      <c r="A24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241212-AFT001</v>
      </c>
      <c r="B2439" s="1" t="str">
        <f>TEXT(Coffee_sales_clean[[#This Row],[Transaction Date]],"dddd")</f>
        <v>Thursday</v>
      </c>
      <c r="C2439" s="12">
        <v>45638</v>
      </c>
      <c r="D2439" s="4">
        <v>0.7048855092592593</v>
      </c>
      <c r="E24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39" t="s">
        <v>6</v>
      </c>
      <c r="G2439" s="2">
        <v>21.06</v>
      </c>
    </row>
    <row r="2440" spans="1:7" x14ac:dyDescent="0.25">
      <c r="A24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241212-AFT002</v>
      </c>
      <c r="B2440" s="1" t="str">
        <f>TEXT(Coffee_sales_clean[[#This Row],[Transaction Date]],"dddd")</f>
        <v>Thursday</v>
      </c>
      <c r="C2440" s="12">
        <v>45638</v>
      </c>
      <c r="D2440" s="4">
        <v>0.70542973379629625</v>
      </c>
      <c r="E24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40" t="s">
        <v>6</v>
      </c>
      <c r="G2440" s="2">
        <v>21.06</v>
      </c>
    </row>
    <row r="2441" spans="1:7" x14ac:dyDescent="0.25">
      <c r="A24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241212-AFT003</v>
      </c>
      <c r="B2441" s="1" t="str">
        <f>TEXT(Coffee_sales_clean[[#This Row],[Transaction Date]],"dddd")</f>
        <v>Thursday</v>
      </c>
      <c r="C2441" s="12">
        <v>45638</v>
      </c>
      <c r="D2441" s="4">
        <v>0.70626291666666663</v>
      </c>
      <c r="E24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41" t="s">
        <v>2</v>
      </c>
      <c r="G2441" s="2">
        <v>25.96</v>
      </c>
    </row>
    <row r="2442" spans="1:7" x14ac:dyDescent="0.25">
      <c r="A24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241212-EVE001</v>
      </c>
      <c r="B2442" s="1" t="str">
        <f>TEXT(Coffee_sales_clean[[#This Row],[Transaction Date]],"dddd")</f>
        <v>Thursday</v>
      </c>
      <c r="C2442" s="12">
        <v>45638</v>
      </c>
      <c r="D2442" s="4">
        <v>0.82639969907407407</v>
      </c>
      <c r="E24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42" t="s">
        <v>4</v>
      </c>
      <c r="G2442" s="2">
        <v>35.76</v>
      </c>
    </row>
    <row r="2443" spans="1:7" x14ac:dyDescent="0.25">
      <c r="A24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241212-EVE002</v>
      </c>
      <c r="B2443" s="1" t="str">
        <f>TEXT(Coffee_sales_clean[[#This Row],[Transaction Date]],"dddd")</f>
        <v>Thursday</v>
      </c>
      <c r="C2443" s="12">
        <v>45638</v>
      </c>
      <c r="D2443" s="4">
        <v>0.82705710648148145</v>
      </c>
      <c r="E24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43" t="s">
        <v>4</v>
      </c>
      <c r="G2443" s="2">
        <v>35.76</v>
      </c>
    </row>
    <row r="2444" spans="1:7" x14ac:dyDescent="0.25">
      <c r="A24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241213-LUN001</v>
      </c>
      <c r="B2444" s="1" t="str">
        <f>TEXT(Coffee_sales_clean[[#This Row],[Transaction Date]],"dddd")</f>
        <v>Friday</v>
      </c>
      <c r="C2444" s="12">
        <v>45639</v>
      </c>
      <c r="D2444" s="4">
        <v>0.5190445949074074</v>
      </c>
      <c r="E24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44" t="s">
        <v>2</v>
      </c>
      <c r="G2444" s="2">
        <v>25.96</v>
      </c>
    </row>
    <row r="2445" spans="1:7" x14ac:dyDescent="0.25">
      <c r="A24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241213-LUN002</v>
      </c>
      <c r="B2445" s="1" t="str">
        <f>TEXT(Coffee_sales_clean[[#This Row],[Transaction Date]],"dddd")</f>
        <v>Friday</v>
      </c>
      <c r="C2445" s="12">
        <v>45639</v>
      </c>
      <c r="D2445" s="4">
        <v>0.53687004629629631</v>
      </c>
      <c r="E24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45" t="s">
        <v>2</v>
      </c>
      <c r="G2445" s="2">
        <v>25.96</v>
      </c>
    </row>
    <row r="2446" spans="1:7" x14ac:dyDescent="0.25">
      <c r="A24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241213-LUN003</v>
      </c>
      <c r="B2446" s="1" t="str">
        <f>TEXT(Coffee_sales_clean[[#This Row],[Transaction Date]],"dddd")</f>
        <v>Friday</v>
      </c>
      <c r="C2446" s="12">
        <v>45639</v>
      </c>
      <c r="D2446" s="4">
        <v>0.53796488425925926</v>
      </c>
      <c r="E24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46" t="s">
        <v>1</v>
      </c>
      <c r="G2446" s="2">
        <v>35.76</v>
      </c>
    </row>
    <row r="2447" spans="1:7" x14ac:dyDescent="0.25">
      <c r="A24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241213-AFT001</v>
      </c>
      <c r="B2447" s="1" t="str">
        <f>TEXT(Coffee_sales_clean[[#This Row],[Transaction Date]],"dddd")</f>
        <v>Friday</v>
      </c>
      <c r="C2447" s="12">
        <v>45639</v>
      </c>
      <c r="D2447" s="4">
        <v>0.58469980324074078</v>
      </c>
      <c r="E24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47" t="s">
        <v>1</v>
      </c>
      <c r="G2447" s="2">
        <v>35.76</v>
      </c>
    </row>
    <row r="2448" spans="1:7" x14ac:dyDescent="0.25">
      <c r="A24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241213-AFT002</v>
      </c>
      <c r="B2448" s="1" t="str">
        <f>TEXT(Coffee_sales_clean[[#This Row],[Transaction Date]],"dddd")</f>
        <v>Friday</v>
      </c>
      <c r="C2448" s="12">
        <v>45639</v>
      </c>
      <c r="D2448" s="4">
        <v>0.68291548611111108</v>
      </c>
      <c r="E24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48" t="s">
        <v>4</v>
      </c>
      <c r="G2448" s="2">
        <v>35.76</v>
      </c>
    </row>
    <row r="2449" spans="1:7" x14ac:dyDescent="0.25">
      <c r="A24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241213-EVE001</v>
      </c>
      <c r="B2449" s="1" t="str">
        <f>TEXT(Coffee_sales_clean[[#This Row],[Transaction Date]],"dddd")</f>
        <v>Friday</v>
      </c>
      <c r="C2449" s="12">
        <v>45639</v>
      </c>
      <c r="D2449" s="4">
        <v>0.80490521990740738</v>
      </c>
      <c r="E24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49" t="s">
        <v>7</v>
      </c>
      <c r="G2449" s="2">
        <v>35.76</v>
      </c>
    </row>
    <row r="2450" spans="1:7" x14ac:dyDescent="0.25">
      <c r="A24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241213-EVE002</v>
      </c>
      <c r="B2450" s="1" t="str">
        <f>TEXT(Coffee_sales_clean[[#This Row],[Transaction Date]],"dddd")</f>
        <v>Friday</v>
      </c>
      <c r="C2450" s="12">
        <v>45639</v>
      </c>
      <c r="D2450" s="4">
        <v>0.80567267361111106</v>
      </c>
      <c r="E24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50" t="s">
        <v>7</v>
      </c>
      <c r="G2450" s="2">
        <v>35.76</v>
      </c>
    </row>
    <row r="2451" spans="1:7" x14ac:dyDescent="0.25">
      <c r="A24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241213-LAT001</v>
      </c>
      <c r="B2451" s="1" t="str">
        <f>TEXT(Coffee_sales_clean[[#This Row],[Transaction Date]],"dddd")</f>
        <v>Friday</v>
      </c>
      <c r="C2451" s="12">
        <v>45639</v>
      </c>
      <c r="D2451" s="4">
        <v>0.89979114583333331</v>
      </c>
      <c r="E24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51" t="s">
        <v>0</v>
      </c>
      <c r="G2451" s="2">
        <v>35.76</v>
      </c>
    </row>
    <row r="2452" spans="1:7" x14ac:dyDescent="0.25">
      <c r="A24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241214-MOR001</v>
      </c>
      <c r="B2452" s="1" t="str">
        <f>TEXT(Coffee_sales_clean[[#This Row],[Transaction Date]],"dddd")</f>
        <v>Saturday</v>
      </c>
      <c r="C2452" s="12">
        <v>45640</v>
      </c>
      <c r="D2452" s="4">
        <v>0.35245432870370369</v>
      </c>
      <c r="E24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52" t="s">
        <v>3</v>
      </c>
      <c r="G2452" s="2">
        <v>30.86</v>
      </c>
    </row>
    <row r="2453" spans="1:7" x14ac:dyDescent="0.25">
      <c r="A24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241214-MOR002</v>
      </c>
      <c r="B2453" s="1" t="str">
        <f>TEXT(Coffee_sales_clean[[#This Row],[Transaction Date]],"dddd")</f>
        <v>Saturday</v>
      </c>
      <c r="C2453" s="12">
        <v>45640</v>
      </c>
      <c r="D2453" s="4">
        <v>0.3771478240740741</v>
      </c>
      <c r="E24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53" t="s">
        <v>4</v>
      </c>
      <c r="G2453" s="2">
        <v>35.76</v>
      </c>
    </row>
    <row r="2454" spans="1:7" x14ac:dyDescent="0.25">
      <c r="A24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241214-LUN001</v>
      </c>
      <c r="B2454" s="1" t="str">
        <f>TEXT(Coffee_sales_clean[[#This Row],[Transaction Date]],"dddd")</f>
        <v>Saturday</v>
      </c>
      <c r="C2454" s="12">
        <v>45640</v>
      </c>
      <c r="D2454" s="4">
        <v>0.48747476851851851</v>
      </c>
      <c r="E24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54" t="s">
        <v>7</v>
      </c>
      <c r="G2454" s="2">
        <v>35.76</v>
      </c>
    </row>
    <row r="2455" spans="1:7" x14ac:dyDescent="0.25">
      <c r="A24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241214-LUN002</v>
      </c>
      <c r="B2455" s="1" t="str">
        <f>TEXT(Coffee_sales_clean[[#This Row],[Transaction Date]],"dddd")</f>
        <v>Saturday</v>
      </c>
      <c r="C2455" s="12">
        <v>45640</v>
      </c>
      <c r="D2455" s="4">
        <v>0.55494251157407404</v>
      </c>
      <c r="E24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55" t="s">
        <v>2</v>
      </c>
      <c r="G2455" s="2">
        <v>25.96</v>
      </c>
    </row>
    <row r="2456" spans="1:7" x14ac:dyDescent="0.25">
      <c r="A24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241214-LUN003</v>
      </c>
      <c r="B2456" s="1" t="str">
        <f>TEXT(Coffee_sales_clean[[#This Row],[Transaction Date]],"dddd")</f>
        <v>Saturday</v>
      </c>
      <c r="C2456" s="12">
        <v>45640</v>
      </c>
      <c r="D2456" s="4">
        <v>0.55565512731481481</v>
      </c>
      <c r="E24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56" t="s">
        <v>0</v>
      </c>
      <c r="G2456" s="2">
        <v>35.76</v>
      </c>
    </row>
    <row r="2457" spans="1:7" x14ac:dyDescent="0.25">
      <c r="A24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241214-AFT001</v>
      </c>
      <c r="B2457" s="1" t="str">
        <f>TEXT(Coffee_sales_clean[[#This Row],[Transaction Date]],"dddd")</f>
        <v>Saturday</v>
      </c>
      <c r="C2457" s="12">
        <v>45640</v>
      </c>
      <c r="D2457" s="4">
        <v>0.67395813657407411</v>
      </c>
      <c r="E24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57" t="s">
        <v>4</v>
      </c>
      <c r="G2457" s="2">
        <v>35.76</v>
      </c>
    </row>
    <row r="2458" spans="1:7" x14ac:dyDescent="0.25">
      <c r="A24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241214-AFT002</v>
      </c>
      <c r="B2458" s="1" t="str">
        <f>TEXT(Coffee_sales_clean[[#This Row],[Transaction Date]],"dddd")</f>
        <v>Saturday</v>
      </c>
      <c r="C2458" s="12">
        <v>45640</v>
      </c>
      <c r="D2458" s="4">
        <v>0.68748767361111107</v>
      </c>
      <c r="E24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58" t="s">
        <v>2</v>
      </c>
      <c r="G2458" s="2">
        <v>25.96</v>
      </c>
    </row>
    <row r="2459" spans="1:7" x14ac:dyDescent="0.25">
      <c r="A24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241214-AFT003</v>
      </c>
      <c r="B2459" s="1" t="str">
        <f>TEXT(Coffee_sales_clean[[#This Row],[Transaction Date]],"dddd")</f>
        <v>Saturday</v>
      </c>
      <c r="C2459" s="12">
        <v>45640</v>
      </c>
      <c r="D2459" s="4">
        <v>0.68807615740740746</v>
      </c>
      <c r="E24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59" t="s">
        <v>2</v>
      </c>
      <c r="G2459" s="2">
        <v>25.96</v>
      </c>
    </row>
    <row r="2460" spans="1:7" x14ac:dyDescent="0.25">
      <c r="A24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241214-EVE001</v>
      </c>
      <c r="B2460" s="1" t="str">
        <f>TEXT(Coffee_sales_clean[[#This Row],[Transaction Date]],"dddd")</f>
        <v>Saturday</v>
      </c>
      <c r="C2460" s="12">
        <v>45640</v>
      </c>
      <c r="D2460" s="4">
        <v>0.70851734953703704</v>
      </c>
      <c r="E24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60" t="s">
        <v>2</v>
      </c>
      <c r="G2460" s="2">
        <v>25.96</v>
      </c>
    </row>
    <row r="2461" spans="1:7" x14ac:dyDescent="0.25">
      <c r="A24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241214-EVE002</v>
      </c>
      <c r="B2461" s="1" t="str">
        <f>TEXT(Coffee_sales_clean[[#This Row],[Transaction Date]],"dddd")</f>
        <v>Saturday</v>
      </c>
      <c r="C2461" s="12">
        <v>45640</v>
      </c>
      <c r="D2461" s="4">
        <v>0.70936556712962962</v>
      </c>
      <c r="E24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61" t="s">
        <v>2</v>
      </c>
      <c r="G2461" s="2">
        <v>25.96</v>
      </c>
    </row>
    <row r="2462" spans="1:7" x14ac:dyDescent="0.25">
      <c r="A24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241214-EVE003</v>
      </c>
      <c r="B2462" s="1" t="str">
        <f>TEXT(Coffee_sales_clean[[#This Row],[Transaction Date]],"dddd")</f>
        <v>Saturday</v>
      </c>
      <c r="C2462" s="12">
        <v>45640</v>
      </c>
      <c r="D2462" s="4">
        <v>0.76648328703703705</v>
      </c>
      <c r="E24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62" t="s">
        <v>3</v>
      </c>
      <c r="G2462" s="2">
        <v>30.86</v>
      </c>
    </row>
    <row r="2463" spans="1:7" x14ac:dyDescent="0.25">
      <c r="A24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241215-LUN001</v>
      </c>
      <c r="B2463" s="1" t="str">
        <f>TEXT(Coffee_sales_clean[[#This Row],[Transaction Date]],"dddd")</f>
        <v>Sunday</v>
      </c>
      <c r="C2463" s="12">
        <v>45641</v>
      </c>
      <c r="D2463" s="4">
        <v>0.46487045138888888</v>
      </c>
      <c r="E24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63" t="s">
        <v>0</v>
      </c>
      <c r="G2463" s="2">
        <v>35.76</v>
      </c>
    </row>
    <row r="2464" spans="1:7" x14ac:dyDescent="0.25">
      <c r="A24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241215-LUN002</v>
      </c>
      <c r="B2464" s="1" t="str">
        <f>TEXT(Coffee_sales_clean[[#This Row],[Transaction Date]],"dddd")</f>
        <v>Sunday</v>
      </c>
      <c r="C2464" s="12">
        <v>45641</v>
      </c>
      <c r="D2464" s="4">
        <v>0.46557515046296294</v>
      </c>
      <c r="E24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64" t="s">
        <v>4</v>
      </c>
      <c r="G2464" s="2">
        <v>35.76</v>
      </c>
    </row>
    <row r="2465" spans="1:7" x14ac:dyDescent="0.25">
      <c r="A24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241215-EVE001</v>
      </c>
      <c r="B2465" s="1" t="str">
        <f>TEXT(Coffee_sales_clean[[#This Row],[Transaction Date]],"dddd")</f>
        <v>Sunday</v>
      </c>
      <c r="C2465" s="12">
        <v>45641</v>
      </c>
      <c r="D2465" s="4">
        <v>0.74867344907407407</v>
      </c>
      <c r="E24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65" t="s">
        <v>1</v>
      </c>
      <c r="G2465" s="2">
        <v>35.76</v>
      </c>
    </row>
    <row r="2466" spans="1:7" x14ac:dyDescent="0.25">
      <c r="A24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241216-MOR001</v>
      </c>
      <c r="B2466" s="1" t="str">
        <f>TEXT(Coffee_sales_clean[[#This Row],[Transaction Date]],"dddd")</f>
        <v>Monday</v>
      </c>
      <c r="C2466" s="12">
        <v>45642</v>
      </c>
      <c r="D2466" s="4">
        <v>0.32799049768518518</v>
      </c>
      <c r="E24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66" t="s">
        <v>0</v>
      </c>
      <c r="G2466" s="2">
        <v>35.76</v>
      </c>
    </row>
    <row r="2467" spans="1:7" x14ac:dyDescent="0.25">
      <c r="A24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241216-MOR002</v>
      </c>
      <c r="B2467" s="1" t="str">
        <f>TEXT(Coffee_sales_clean[[#This Row],[Transaction Date]],"dddd")</f>
        <v>Monday</v>
      </c>
      <c r="C2467" s="12">
        <v>45642</v>
      </c>
      <c r="D2467" s="4">
        <v>0.33577660879629628</v>
      </c>
      <c r="E24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67" t="s">
        <v>1</v>
      </c>
      <c r="G2467" s="2">
        <v>35.76</v>
      </c>
    </row>
    <row r="2468" spans="1:7" x14ac:dyDescent="0.25">
      <c r="A24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241216-MOR003</v>
      </c>
      <c r="B2468" s="1" t="str">
        <f>TEXT(Coffee_sales_clean[[#This Row],[Transaction Date]],"dddd")</f>
        <v>Monday</v>
      </c>
      <c r="C2468" s="12">
        <v>45642</v>
      </c>
      <c r="D2468" s="4">
        <v>0.36590076388888887</v>
      </c>
      <c r="E24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68" t="s">
        <v>4</v>
      </c>
      <c r="G2468" s="2">
        <v>35.76</v>
      </c>
    </row>
    <row r="2469" spans="1:7" x14ac:dyDescent="0.25">
      <c r="A24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241216-LUN001</v>
      </c>
      <c r="B2469" s="1" t="str">
        <f>TEXT(Coffee_sales_clean[[#This Row],[Transaction Date]],"dddd")</f>
        <v>Monday</v>
      </c>
      <c r="C2469" s="12">
        <v>45642</v>
      </c>
      <c r="D2469" s="4">
        <v>0.51328855324074074</v>
      </c>
      <c r="E24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69" t="s">
        <v>3</v>
      </c>
      <c r="G2469" s="2">
        <v>30.86</v>
      </c>
    </row>
    <row r="2470" spans="1:7" x14ac:dyDescent="0.25">
      <c r="A24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241216-LUN002</v>
      </c>
      <c r="B2470" s="1" t="str">
        <f>TEXT(Coffee_sales_clean[[#This Row],[Transaction Date]],"dddd")</f>
        <v>Monday</v>
      </c>
      <c r="C2470" s="12">
        <v>45642</v>
      </c>
      <c r="D2470" s="4">
        <v>0.54783075231481482</v>
      </c>
      <c r="E24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70" t="s">
        <v>0</v>
      </c>
      <c r="G2470" s="2">
        <v>35.76</v>
      </c>
    </row>
    <row r="2471" spans="1:7" x14ac:dyDescent="0.25">
      <c r="A24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241216-AFT001</v>
      </c>
      <c r="B2471" s="1" t="str">
        <f>TEXT(Coffee_sales_clean[[#This Row],[Transaction Date]],"dddd")</f>
        <v>Monday</v>
      </c>
      <c r="C2471" s="12">
        <v>45642</v>
      </c>
      <c r="D2471" s="4">
        <v>0.59257116898148143</v>
      </c>
      <c r="E24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71" t="s">
        <v>1</v>
      </c>
      <c r="G2471" s="2">
        <v>35.76</v>
      </c>
    </row>
    <row r="2472" spans="1:7" x14ac:dyDescent="0.25">
      <c r="A24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241216-EVE001</v>
      </c>
      <c r="B2472" s="1" t="str">
        <f>TEXT(Coffee_sales_clean[[#This Row],[Transaction Date]],"dddd")</f>
        <v>Monday</v>
      </c>
      <c r="C2472" s="12">
        <v>45642</v>
      </c>
      <c r="D2472" s="4">
        <v>0.76605376157407412</v>
      </c>
      <c r="E24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72" t="s">
        <v>0</v>
      </c>
      <c r="G2472" s="2">
        <v>35.76</v>
      </c>
    </row>
    <row r="2473" spans="1:7" x14ac:dyDescent="0.25">
      <c r="A24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241216-EVE002</v>
      </c>
      <c r="B2473" s="1" t="str">
        <f>TEXT(Coffee_sales_clean[[#This Row],[Transaction Date]],"dddd")</f>
        <v>Monday</v>
      </c>
      <c r="C2473" s="12">
        <v>45642</v>
      </c>
      <c r="D2473" s="4">
        <v>0.76668303240740743</v>
      </c>
      <c r="E24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73" t="s">
        <v>3</v>
      </c>
      <c r="G2473" s="2">
        <v>30.86</v>
      </c>
    </row>
    <row r="2474" spans="1:7" x14ac:dyDescent="0.25">
      <c r="A24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241217-MOR001</v>
      </c>
      <c r="B2474" s="1" t="str">
        <f>TEXT(Coffee_sales_clean[[#This Row],[Transaction Date]],"dddd")</f>
        <v>Tuesday</v>
      </c>
      <c r="C2474" s="12">
        <v>45643</v>
      </c>
      <c r="D2474" s="4">
        <v>0.36687682870370369</v>
      </c>
      <c r="E24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74" t="s">
        <v>5</v>
      </c>
      <c r="G2474" s="2">
        <v>25.96</v>
      </c>
    </row>
    <row r="2475" spans="1:7" x14ac:dyDescent="0.25">
      <c r="A24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241217-MOR002</v>
      </c>
      <c r="B2475" s="1" t="str">
        <f>TEXT(Coffee_sales_clean[[#This Row],[Transaction Date]],"dddd")</f>
        <v>Tuesday</v>
      </c>
      <c r="C2475" s="12">
        <v>45643</v>
      </c>
      <c r="D2475" s="4">
        <v>0.36982211805555554</v>
      </c>
      <c r="E24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75" t="s">
        <v>7</v>
      </c>
      <c r="G2475" s="2">
        <v>35.76</v>
      </c>
    </row>
    <row r="2476" spans="1:7" x14ac:dyDescent="0.25">
      <c r="A24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241217-MOR003</v>
      </c>
      <c r="B2476" s="1" t="str">
        <f>TEXT(Coffee_sales_clean[[#This Row],[Transaction Date]],"dddd")</f>
        <v>Tuesday</v>
      </c>
      <c r="C2476" s="12">
        <v>45643</v>
      </c>
      <c r="D2476" s="4">
        <v>0.45075850694444447</v>
      </c>
      <c r="E24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76" t="s">
        <v>3</v>
      </c>
      <c r="G2476" s="2">
        <v>30.86</v>
      </c>
    </row>
    <row r="2477" spans="1:7" x14ac:dyDescent="0.25">
      <c r="A24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241217-AFT001</v>
      </c>
      <c r="B2477" s="1" t="str">
        <f>TEXT(Coffee_sales_clean[[#This Row],[Transaction Date]],"dddd")</f>
        <v>Tuesday</v>
      </c>
      <c r="C2477" s="12">
        <v>45643</v>
      </c>
      <c r="D2477" s="4">
        <v>0.68235021990740741</v>
      </c>
      <c r="E24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77" t="s">
        <v>2</v>
      </c>
      <c r="G2477" s="2">
        <v>25.96</v>
      </c>
    </row>
    <row r="2478" spans="1:7" x14ac:dyDescent="0.25">
      <c r="A24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241217-AFT002</v>
      </c>
      <c r="B2478" s="1" t="str">
        <f>TEXT(Coffee_sales_clean[[#This Row],[Transaction Date]],"dddd")</f>
        <v>Tuesday</v>
      </c>
      <c r="C2478" s="12">
        <v>45643</v>
      </c>
      <c r="D2478" s="4">
        <v>0.6830625578703704</v>
      </c>
      <c r="E24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478" t="s">
        <v>4</v>
      </c>
      <c r="G2478" s="2">
        <v>35.76</v>
      </c>
    </row>
    <row r="2479" spans="1:7" x14ac:dyDescent="0.25">
      <c r="A24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241217-EVE001</v>
      </c>
      <c r="B2479" s="1" t="str">
        <f>TEXT(Coffee_sales_clean[[#This Row],[Transaction Date]],"dddd")</f>
        <v>Tuesday</v>
      </c>
      <c r="C2479" s="12">
        <v>45643</v>
      </c>
      <c r="D2479" s="4">
        <v>0.71831093749999997</v>
      </c>
      <c r="E24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79" t="s">
        <v>7</v>
      </c>
      <c r="G2479" s="2">
        <v>35.76</v>
      </c>
    </row>
    <row r="2480" spans="1:7" x14ac:dyDescent="0.25">
      <c r="A24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241217-EVE002</v>
      </c>
      <c r="B2480" s="1" t="str">
        <f>TEXT(Coffee_sales_clean[[#This Row],[Transaction Date]],"dddd")</f>
        <v>Tuesday</v>
      </c>
      <c r="C2480" s="12">
        <v>45643</v>
      </c>
      <c r="D2480" s="4">
        <v>0.78816321759259256</v>
      </c>
      <c r="E24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80" t="s">
        <v>4</v>
      </c>
      <c r="G2480" s="2">
        <v>35.76</v>
      </c>
    </row>
    <row r="2481" spans="1:7" x14ac:dyDescent="0.25">
      <c r="A24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241218-MOR001</v>
      </c>
      <c r="B2481" s="1" t="str">
        <f>TEXT(Coffee_sales_clean[[#This Row],[Transaction Date]],"dddd")</f>
        <v>Wednesday</v>
      </c>
      <c r="C2481" s="12">
        <v>45644</v>
      </c>
      <c r="D2481" s="4">
        <v>0.39616070601851849</v>
      </c>
      <c r="E24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81" t="s">
        <v>0</v>
      </c>
      <c r="G2481" s="2">
        <v>35.76</v>
      </c>
    </row>
    <row r="2482" spans="1:7" x14ac:dyDescent="0.25">
      <c r="A24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241218-MOR002</v>
      </c>
      <c r="B2482" s="1" t="str">
        <f>TEXT(Coffee_sales_clean[[#This Row],[Transaction Date]],"dddd")</f>
        <v>Wednesday</v>
      </c>
      <c r="C2482" s="12">
        <v>45644</v>
      </c>
      <c r="D2482" s="4">
        <v>0.41760984953703706</v>
      </c>
      <c r="E24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82" t="s">
        <v>3</v>
      </c>
      <c r="G2482" s="2">
        <v>30.86</v>
      </c>
    </row>
    <row r="2483" spans="1:7" x14ac:dyDescent="0.25">
      <c r="A24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241218-MOR003</v>
      </c>
      <c r="B2483" s="1" t="str">
        <f>TEXT(Coffee_sales_clean[[#This Row],[Transaction Date]],"dddd")</f>
        <v>Wednesday</v>
      </c>
      <c r="C2483" s="12">
        <v>45644</v>
      </c>
      <c r="D2483" s="4">
        <v>0.41877393518518519</v>
      </c>
      <c r="E24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83" t="s">
        <v>0</v>
      </c>
      <c r="G2483" s="2">
        <v>35.76</v>
      </c>
    </row>
    <row r="2484" spans="1:7" x14ac:dyDescent="0.25">
      <c r="A24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241218-MOR004</v>
      </c>
      <c r="B2484" s="1" t="str">
        <f>TEXT(Coffee_sales_clean[[#This Row],[Transaction Date]],"dddd")</f>
        <v>Wednesday</v>
      </c>
      <c r="C2484" s="12">
        <v>45644</v>
      </c>
      <c r="D2484" s="4">
        <v>0.4194835648148148</v>
      </c>
      <c r="E24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84" t="s">
        <v>7</v>
      </c>
      <c r="G2484" s="2">
        <v>35.76</v>
      </c>
    </row>
    <row r="2485" spans="1:7" x14ac:dyDescent="0.25">
      <c r="A24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241219-MOR001</v>
      </c>
      <c r="B2485" s="1" t="str">
        <f>TEXT(Coffee_sales_clean[[#This Row],[Transaction Date]],"dddd")</f>
        <v>Thursday</v>
      </c>
      <c r="C2485" s="12">
        <v>45645</v>
      </c>
      <c r="D2485" s="4">
        <v>0.42512945601851854</v>
      </c>
      <c r="E24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85" t="s">
        <v>1</v>
      </c>
      <c r="G2485" s="2">
        <v>35.76</v>
      </c>
    </row>
    <row r="2486" spans="1:7" x14ac:dyDescent="0.25">
      <c r="A24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241219-LUN001</v>
      </c>
      <c r="B2486" s="1" t="str">
        <f>TEXT(Coffee_sales_clean[[#This Row],[Transaction Date]],"dddd")</f>
        <v>Thursday</v>
      </c>
      <c r="C2486" s="12">
        <v>45645</v>
      </c>
      <c r="D2486" s="4">
        <v>0.47620303240740741</v>
      </c>
      <c r="E24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86" t="s">
        <v>3</v>
      </c>
      <c r="G2486" s="2">
        <v>30.86</v>
      </c>
    </row>
    <row r="2487" spans="1:7" x14ac:dyDescent="0.25">
      <c r="A24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241219-LUN002</v>
      </c>
      <c r="B2487" s="1" t="str">
        <f>TEXT(Coffee_sales_clean[[#This Row],[Transaction Date]],"dddd")</f>
        <v>Thursday</v>
      </c>
      <c r="C2487" s="12">
        <v>45645</v>
      </c>
      <c r="D2487" s="4">
        <v>0.50755010416666668</v>
      </c>
      <c r="E24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87" t="s">
        <v>6</v>
      </c>
      <c r="G2487" s="2">
        <v>21.06</v>
      </c>
    </row>
    <row r="2488" spans="1:7" x14ac:dyDescent="0.25">
      <c r="A24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241219-LUN003</v>
      </c>
      <c r="B2488" s="1" t="str">
        <f>TEXT(Coffee_sales_clean[[#This Row],[Transaction Date]],"dddd")</f>
        <v>Thursday</v>
      </c>
      <c r="C2488" s="12">
        <v>45645</v>
      </c>
      <c r="D2488" s="4">
        <v>0.56871281250000005</v>
      </c>
      <c r="E24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88" t="s">
        <v>1</v>
      </c>
      <c r="G2488" s="2">
        <v>35.76</v>
      </c>
    </row>
    <row r="2489" spans="1:7" x14ac:dyDescent="0.25">
      <c r="A24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241219-EVE001</v>
      </c>
      <c r="B2489" s="1" t="str">
        <f>TEXT(Coffee_sales_clean[[#This Row],[Transaction Date]],"dddd")</f>
        <v>Thursday</v>
      </c>
      <c r="C2489" s="12">
        <v>45645</v>
      </c>
      <c r="D2489" s="4">
        <v>0.79231785879629635</v>
      </c>
      <c r="E24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89" t="s">
        <v>7</v>
      </c>
      <c r="G2489" s="2">
        <v>35.76</v>
      </c>
    </row>
    <row r="2490" spans="1:7" x14ac:dyDescent="0.25">
      <c r="A24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241219-EVE002</v>
      </c>
      <c r="B2490" s="1" t="str">
        <f>TEXT(Coffee_sales_clean[[#This Row],[Transaction Date]],"dddd")</f>
        <v>Thursday</v>
      </c>
      <c r="C2490" s="12">
        <v>45645</v>
      </c>
      <c r="D2490" s="4">
        <v>0.7990805671296296</v>
      </c>
      <c r="E24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90" t="s">
        <v>7</v>
      </c>
      <c r="G2490" s="2">
        <v>35.76</v>
      </c>
    </row>
    <row r="2491" spans="1:7" x14ac:dyDescent="0.25">
      <c r="A24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241219-EVE003</v>
      </c>
      <c r="B2491" s="1" t="str">
        <f>TEXT(Coffee_sales_clean[[#This Row],[Transaction Date]],"dddd")</f>
        <v>Thursday</v>
      </c>
      <c r="C2491" s="12">
        <v>45645</v>
      </c>
      <c r="D2491" s="4">
        <v>0.82520858796296293</v>
      </c>
      <c r="E24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91" t="s">
        <v>3</v>
      </c>
      <c r="G2491" s="2">
        <v>30.86</v>
      </c>
    </row>
    <row r="2492" spans="1:7" x14ac:dyDescent="0.25">
      <c r="A24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241219-EVE004</v>
      </c>
      <c r="B2492" s="1" t="str">
        <f>TEXT(Coffee_sales_clean[[#This Row],[Transaction Date]],"dddd")</f>
        <v>Thursday</v>
      </c>
      <c r="C2492" s="12">
        <v>45645</v>
      </c>
      <c r="D2492" s="4">
        <v>0.82618719907407412</v>
      </c>
      <c r="E24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492" t="s">
        <v>1</v>
      </c>
      <c r="G2492" s="2">
        <v>35.76</v>
      </c>
    </row>
    <row r="2493" spans="1:7" x14ac:dyDescent="0.25">
      <c r="A24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241219-LAT001</v>
      </c>
      <c r="B2493" s="1" t="str">
        <f>TEXT(Coffee_sales_clean[[#This Row],[Transaction Date]],"dddd")</f>
        <v>Thursday</v>
      </c>
      <c r="C2493" s="12">
        <v>45645</v>
      </c>
      <c r="D2493" s="4">
        <v>0.88069225694444442</v>
      </c>
      <c r="E24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93" t="s">
        <v>0</v>
      </c>
      <c r="G2493" s="2">
        <v>35.76</v>
      </c>
    </row>
    <row r="2494" spans="1:7" x14ac:dyDescent="0.25">
      <c r="A24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241219-LAT002</v>
      </c>
      <c r="B2494" s="1" t="str">
        <f>TEXT(Coffee_sales_clean[[#This Row],[Transaction Date]],"dddd")</f>
        <v>Thursday</v>
      </c>
      <c r="C2494" s="12">
        <v>45645</v>
      </c>
      <c r="D2494" s="4">
        <v>0.88143193287037036</v>
      </c>
      <c r="E24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494" t="s">
        <v>7</v>
      </c>
      <c r="G2494" s="2">
        <v>35.76</v>
      </c>
    </row>
    <row r="2495" spans="1:7" x14ac:dyDescent="0.25">
      <c r="A24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241220-MOR001</v>
      </c>
      <c r="B2495" s="1" t="str">
        <f>TEXT(Coffee_sales_clean[[#This Row],[Transaction Date]],"dddd")</f>
        <v>Friday</v>
      </c>
      <c r="C2495" s="12">
        <v>45646</v>
      </c>
      <c r="D2495" s="4">
        <v>0.34365688657407406</v>
      </c>
      <c r="E24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95" t="s">
        <v>5</v>
      </c>
      <c r="G2495" s="2">
        <v>25.96</v>
      </c>
    </row>
    <row r="2496" spans="1:7" x14ac:dyDescent="0.25">
      <c r="A24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241220-MOR002</v>
      </c>
      <c r="B2496" s="1" t="str">
        <f>TEXT(Coffee_sales_clean[[#This Row],[Transaction Date]],"dddd")</f>
        <v>Friday</v>
      </c>
      <c r="C2496" s="12">
        <v>45646</v>
      </c>
      <c r="D2496" s="4">
        <v>0.40242895833333331</v>
      </c>
      <c r="E24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96" t="s">
        <v>3</v>
      </c>
      <c r="G2496" s="2">
        <v>30.86</v>
      </c>
    </row>
    <row r="2497" spans="1:7" x14ac:dyDescent="0.25">
      <c r="A24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241220-MOR003</v>
      </c>
      <c r="B2497" s="1" t="str">
        <f>TEXT(Coffee_sales_clean[[#This Row],[Transaction Date]],"dddd")</f>
        <v>Friday</v>
      </c>
      <c r="C2497" s="12">
        <v>45646</v>
      </c>
      <c r="D2497" s="4">
        <v>0.42549572916666667</v>
      </c>
      <c r="E24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97" t="s">
        <v>7</v>
      </c>
      <c r="G2497" s="2">
        <v>35.76</v>
      </c>
    </row>
    <row r="2498" spans="1:7" x14ac:dyDescent="0.25">
      <c r="A24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241220-MOR004</v>
      </c>
      <c r="B2498" s="1" t="str">
        <f>TEXT(Coffee_sales_clean[[#This Row],[Transaction Date]],"dddd")</f>
        <v>Friday</v>
      </c>
      <c r="C2498" s="12">
        <v>45646</v>
      </c>
      <c r="D2498" s="4">
        <v>0.45519822916666669</v>
      </c>
      <c r="E24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498" t="s">
        <v>5</v>
      </c>
      <c r="G2498" s="2">
        <v>25.96</v>
      </c>
    </row>
    <row r="2499" spans="1:7" x14ac:dyDescent="0.25">
      <c r="A24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241220-LUN001</v>
      </c>
      <c r="B2499" s="1" t="str">
        <f>TEXT(Coffee_sales_clean[[#This Row],[Transaction Date]],"dddd")</f>
        <v>Friday</v>
      </c>
      <c r="C2499" s="12">
        <v>45646</v>
      </c>
      <c r="D2499" s="4">
        <v>0.51478278935185184</v>
      </c>
      <c r="E24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499" t="s">
        <v>6</v>
      </c>
      <c r="G2499" s="2">
        <v>21.06</v>
      </c>
    </row>
    <row r="2500" spans="1:7" x14ac:dyDescent="0.25">
      <c r="A25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241220-LUN002</v>
      </c>
      <c r="B2500" s="1" t="str">
        <f>TEXT(Coffee_sales_clean[[#This Row],[Transaction Date]],"dddd")</f>
        <v>Friday</v>
      </c>
      <c r="C2500" s="12">
        <v>45646</v>
      </c>
      <c r="D2500" s="4">
        <v>0.51584921296296293</v>
      </c>
      <c r="E25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00" t="s">
        <v>3</v>
      </c>
      <c r="G2500" s="2">
        <v>30.86</v>
      </c>
    </row>
    <row r="2501" spans="1:7" x14ac:dyDescent="0.25">
      <c r="A25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241220-AFT001</v>
      </c>
      <c r="B2501" s="1" t="str">
        <f>TEXT(Coffee_sales_clean[[#This Row],[Transaction Date]],"dddd")</f>
        <v>Friday</v>
      </c>
      <c r="C2501" s="12">
        <v>45646</v>
      </c>
      <c r="D2501" s="4">
        <v>0.62384663194444445</v>
      </c>
      <c r="E25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01" t="s">
        <v>5</v>
      </c>
      <c r="G2501" s="2">
        <v>25.96</v>
      </c>
    </row>
    <row r="2502" spans="1:7" x14ac:dyDescent="0.25">
      <c r="A25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241220-EVE001</v>
      </c>
      <c r="B2502" s="1" t="str">
        <f>TEXT(Coffee_sales_clean[[#This Row],[Transaction Date]],"dddd")</f>
        <v>Friday</v>
      </c>
      <c r="C2502" s="12">
        <v>45646</v>
      </c>
      <c r="D2502" s="4">
        <v>0.76970082175925925</v>
      </c>
      <c r="E25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02" t="s">
        <v>7</v>
      </c>
      <c r="G2502" s="2">
        <v>35.76</v>
      </c>
    </row>
    <row r="2503" spans="1:7" x14ac:dyDescent="0.25">
      <c r="A25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241220-EVE002</v>
      </c>
      <c r="B2503" s="1" t="str">
        <f>TEXT(Coffee_sales_clean[[#This Row],[Transaction Date]],"dddd")</f>
        <v>Friday</v>
      </c>
      <c r="C2503" s="12">
        <v>45646</v>
      </c>
      <c r="D2503" s="4">
        <v>0.7897375694444444</v>
      </c>
      <c r="E25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03" t="s">
        <v>7</v>
      </c>
      <c r="G2503" s="2">
        <v>35.76</v>
      </c>
    </row>
    <row r="2504" spans="1:7" x14ac:dyDescent="0.25">
      <c r="A25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241221-MOR001</v>
      </c>
      <c r="B2504" s="1" t="str">
        <f>TEXT(Coffee_sales_clean[[#This Row],[Transaction Date]],"dddd")</f>
        <v>Saturday</v>
      </c>
      <c r="C2504" s="12">
        <v>45647</v>
      </c>
      <c r="D2504" s="4">
        <v>0.43013744212962962</v>
      </c>
      <c r="E25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04" t="s">
        <v>7</v>
      </c>
      <c r="G2504" s="2">
        <v>35.76</v>
      </c>
    </row>
    <row r="2505" spans="1:7" x14ac:dyDescent="0.25">
      <c r="A25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241221-MOR002</v>
      </c>
      <c r="B2505" s="1" t="str">
        <f>TEXT(Coffee_sales_clean[[#This Row],[Transaction Date]],"dddd")</f>
        <v>Saturday</v>
      </c>
      <c r="C2505" s="12">
        <v>45647</v>
      </c>
      <c r="D2505" s="4">
        <v>0.43103131944444445</v>
      </c>
      <c r="E25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05" t="s">
        <v>0</v>
      </c>
      <c r="G2505" s="2">
        <v>35.76</v>
      </c>
    </row>
    <row r="2506" spans="1:7" x14ac:dyDescent="0.25">
      <c r="A25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241221-MOR003</v>
      </c>
      <c r="B2506" s="1" t="str">
        <f>TEXT(Coffee_sales_clean[[#This Row],[Transaction Date]],"dddd")</f>
        <v>Saturday</v>
      </c>
      <c r="C2506" s="12">
        <v>45647</v>
      </c>
      <c r="D2506" s="4">
        <v>0.43892124999999999</v>
      </c>
      <c r="E25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06" t="s">
        <v>2</v>
      </c>
      <c r="G2506" s="2">
        <v>25.96</v>
      </c>
    </row>
    <row r="2507" spans="1:7" x14ac:dyDescent="0.25">
      <c r="A25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241221-AFT001</v>
      </c>
      <c r="B2507" s="1" t="str">
        <f>TEXT(Coffee_sales_clean[[#This Row],[Transaction Date]],"dddd")</f>
        <v>Saturday</v>
      </c>
      <c r="C2507" s="12">
        <v>45647</v>
      </c>
      <c r="D2507" s="4">
        <v>0.64795866898148147</v>
      </c>
      <c r="E25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07" t="s">
        <v>1</v>
      </c>
      <c r="G2507" s="2">
        <v>35.76</v>
      </c>
    </row>
    <row r="2508" spans="1:7" x14ac:dyDescent="0.25">
      <c r="A25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241221-AFT002</v>
      </c>
      <c r="B2508" s="1" t="str">
        <f>TEXT(Coffee_sales_clean[[#This Row],[Transaction Date]],"dddd")</f>
        <v>Saturday</v>
      </c>
      <c r="C2508" s="12">
        <v>45647</v>
      </c>
      <c r="D2508" s="4">
        <v>0.64849090277777777</v>
      </c>
      <c r="E25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08" t="s">
        <v>0</v>
      </c>
      <c r="G2508" s="2">
        <v>35.76</v>
      </c>
    </row>
    <row r="2509" spans="1:7" x14ac:dyDescent="0.25">
      <c r="A25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241221-AFT003</v>
      </c>
      <c r="B2509" s="1" t="str">
        <f>TEXT(Coffee_sales_clean[[#This Row],[Transaction Date]],"dddd")</f>
        <v>Saturday</v>
      </c>
      <c r="C2509" s="12">
        <v>45647</v>
      </c>
      <c r="D2509" s="4">
        <v>0.64964552083333338</v>
      </c>
      <c r="E25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09" t="s">
        <v>3</v>
      </c>
      <c r="G2509" s="2">
        <v>30.86</v>
      </c>
    </row>
    <row r="2510" spans="1:7" x14ac:dyDescent="0.25">
      <c r="A25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241221-AFT004</v>
      </c>
      <c r="B2510" s="1" t="str">
        <f>TEXT(Coffee_sales_clean[[#This Row],[Transaction Date]],"dddd")</f>
        <v>Saturday</v>
      </c>
      <c r="C2510" s="12">
        <v>45647</v>
      </c>
      <c r="D2510" s="4">
        <v>0.66535905092592595</v>
      </c>
      <c r="E25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10" t="s">
        <v>0</v>
      </c>
      <c r="G2510" s="2">
        <v>35.76</v>
      </c>
    </row>
    <row r="2511" spans="1:7" x14ac:dyDescent="0.25">
      <c r="A25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241221-EVE001</v>
      </c>
      <c r="B2511" s="1" t="str">
        <f>TEXT(Coffee_sales_clean[[#This Row],[Transaction Date]],"dddd")</f>
        <v>Saturday</v>
      </c>
      <c r="C2511" s="12">
        <v>45647</v>
      </c>
      <c r="D2511" s="4">
        <v>0.74129458333333331</v>
      </c>
      <c r="E25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11" t="s">
        <v>4</v>
      </c>
      <c r="G2511" s="2">
        <v>35.76</v>
      </c>
    </row>
    <row r="2512" spans="1:7" x14ac:dyDescent="0.25">
      <c r="A25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241221-EVE002</v>
      </c>
      <c r="B2512" s="1" t="str">
        <f>TEXT(Coffee_sales_clean[[#This Row],[Transaction Date]],"dddd")</f>
        <v>Saturday</v>
      </c>
      <c r="C2512" s="12">
        <v>45647</v>
      </c>
      <c r="D2512" s="4">
        <v>0.75181561342592595</v>
      </c>
      <c r="E25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12" t="s">
        <v>1</v>
      </c>
      <c r="G2512" s="2">
        <v>35.76</v>
      </c>
    </row>
    <row r="2513" spans="1:7" x14ac:dyDescent="0.25">
      <c r="A25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241221-EVE003</v>
      </c>
      <c r="B2513" s="1" t="str">
        <f>TEXT(Coffee_sales_clean[[#This Row],[Transaction Date]],"dddd")</f>
        <v>Saturday</v>
      </c>
      <c r="C2513" s="12">
        <v>45647</v>
      </c>
      <c r="D2513" s="4">
        <v>0.75575427083333335</v>
      </c>
      <c r="E25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13" t="s">
        <v>5</v>
      </c>
      <c r="G2513" s="2">
        <v>25.96</v>
      </c>
    </row>
    <row r="2514" spans="1:7" x14ac:dyDescent="0.25">
      <c r="A25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241221-EVE004</v>
      </c>
      <c r="B2514" s="1" t="str">
        <f>TEXT(Coffee_sales_clean[[#This Row],[Transaction Date]],"dddd")</f>
        <v>Saturday</v>
      </c>
      <c r="C2514" s="12">
        <v>45647</v>
      </c>
      <c r="D2514" s="4">
        <v>0.82515571759259254</v>
      </c>
      <c r="E25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14" t="s">
        <v>3</v>
      </c>
      <c r="G2514" s="2">
        <v>30.86</v>
      </c>
    </row>
    <row r="2515" spans="1:7" x14ac:dyDescent="0.25">
      <c r="A25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241221-EVE005</v>
      </c>
      <c r="B2515" s="1" t="str">
        <f>TEXT(Coffee_sales_clean[[#This Row],[Transaction Date]],"dddd")</f>
        <v>Saturday</v>
      </c>
      <c r="C2515" s="12">
        <v>45647</v>
      </c>
      <c r="D2515" s="4">
        <v>0.82622417824074079</v>
      </c>
      <c r="E25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15" t="s">
        <v>5</v>
      </c>
      <c r="G2515" s="2">
        <v>25.96</v>
      </c>
    </row>
    <row r="2516" spans="1:7" x14ac:dyDescent="0.25">
      <c r="A25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241221-LAT001</v>
      </c>
      <c r="B2516" s="1" t="str">
        <f>TEXT(Coffee_sales_clean[[#This Row],[Transaction Date]],"dddd")</f>
        <v>Saturday</v>
      </c>
      <c r="C2516" s="12">
        <v>45647</v>
      </c>
      <c r="D2516" s="4">
        <v>0.90957538194444443</v>
      </c>
      <c r="E25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16" t="s">
        <v>5</v>
      </c>
      <c r="G2516" s="2">
        <v>25.96</v>
      </c>
    </row>
    <row r="2517" spans="1:7" x14ac:dyDescent="0.25">
      <c r="A25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241221-LAT002</v>
      </c>
      <c r="B2517" s="1" t="str">
        <f>TEXT(Coffee_sales_clean[[#This Row],[Transaction Date]],"dddd")</f>
        <v>Saturday</v>
      </c>
      <c r="C2517" s="12">
        <v>45647</v>
      </c>
      <c r="D2517" s="4">
        <v>0.91584206018518521</v>
      </c>
      <c r="E25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17" t="s">
        <v>0</v>
      </c>
      <c r="G2517" s="2">
        <v>35.76</v>
      </c>
    </row>
    <row r="2518" spans="1:7" x14ac:dyDescent="0.25">
      <c r="A25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241221-LAT003</v>
      </c>
      <c r="B2518" s="1" t="str">
        <f>TEXT(Coffee_sales_clean[[#This Row],[Transaction Date]],"dddd")</f>
        <v>Saturday</v>
      </c>
      <c r="C2518" s="12">
        <v>45647</v>
      </c>
      <c r="D2518" s="4">
        <v>0.92794142361111109</v>
      </c>
      <c r="E25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18" t="s">
        <v>5</v>
      </c>
      <c r="G2518" s="2">
        <v>25.96</v>
      </c>
    </row>
    <row r="2519" spans="1:7" x14ac:dyDescent="0.25">
      <c r="A25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241222-MOR001</v>
      </c>
      <c r="B2519" s="1" t="str">
        <f>TEXT(Coffee_sales_clean[[#This Row],[Transaction Date]],"dddd")</f>
        <v>Sunday</v>
      </c>
      <c r="C2519" s="12">
        <v>45648</v>
      </c>
      <c r="D2519" s="4">
        <v>0.44648293981481479</v>
      </c>
      <c r="E25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19" t="s">
        <v>7</v>
      </c>
      <c r="G2519" s="2">
        <v>35.76</v>
      </c>
    </row>
    <row r="2520" spans="1:7" x14ac:dyDescent="0.25">
      <c r="A25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241222-EVE001</v>
      </c>
      <c r="B2520" s="1" t="str">
        <f>TEXT(Coffee_sales_clean[[#This Row],[Transaction Date]],"dddd")</f>
        <v>Sunday</v>
      </c>
      <c r="C2520" s="12">
        <v>45648</v>
      </c>
      <c r="D2520" s="4">
        <v>0.78870960648148147</v>
      </c>
      <c r="E25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20" t="s">
        <v>7</v>
      </c>
      <c r="G2520" s="2">
        <v>35.76</v>
      </c>
    </row>
    <row r="2521" spans="1:7" x14ac:dyDescent="0.25">
      <c r="A25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241222-EVE002</v>
      </c>
      <c r="B2521" s="1" t="str">
        <f>TEXT(Coffee_sales_clean[[#This Row],[Transaction Date]],"dddd")</f>
        <v>Sunday</v>
      </c>
      <c r="C2521" s="12">
        <v>45648</v>
      </c>
      <c r="D2521" s="4">
        <v>0.81650287037037039</v>
      </c>
      <c r="E25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21" t="s">
        <v>1</v>
      </c>
      <c r="G2521" s="2">
        <v>35.76</v>
      </c>
    </row>
    <row r="2522" spans="1:7" x14ac:dyDescent="0.25">
      <c r="A25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241222-EVE003</v>
      </c>
      <c r="B2522" s="1" t="str">
        <f>TEXT(Coffee_sales_clean[[#This Row],[Transaction Date]],"dddd")</f>
        <v>Sunday</v>
      </c>
      <c r="C2522" s="12">
        <v>45648</v>
      </c>
      <c r="D2522" s="4">
        <v>0.8170123032407407</v>
      </c>
      <c r="E25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22" t="s">
        <v>1</v>
      </c>
      <c r="G2522" s="2">
        <v>35.76</v>
      </c>
    </row>
    <row r="2523" spans="1:7" x14ac:dyDescent="0.25">
      <c r="A25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241222-LAT001</v>
      </c>
      <c r="B2523" s="1" t="str">
        <f>TEXT(Coffee_sales_clean[[#This Row],[Transaction Date]],"dddd")</f>
        <v>Sunday</v>
      </c>
      <c r="C2523" s="12">
        <v>45648</v>
      </c>
      <c r="D2523" s="4">
        <v>0.85181402777777782</v>
      </c>
      <c r="E25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23" t="s">
        <v>1</v>
      </c>
      <c r="G2523" s="2">
        <v>35.76</v>
      </c>
    </row>
    <row r="2524" spans="1:7" x14ac:dyDescent="0.25">
      <c r="A25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241222-LAT002</v>
      </c>
      <c r="B2524" s="1" t="str">
        <f>TEXT(Coffee_sales_clean[[#This Row],[Transaction Date]],"dddd")</f>
        <v>Sunday</v>
      </c>
      <c r="C2524" s="12">
        <v>45648</v>
      </c>
      <c r="D2524" s="4">
        <v>0.91341150462962961</v>
      </c>
      <c r="E25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24" t="s">
        <v>4</v>
      </c>
      <c r="G2524" s="2">
        <v>35.76</v>
      </c>
    </row>
    <row r="2525" spans="1:7" x14ac:dyDescent="0.25">
      <c r="A25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241222-LAT003</v>
      </c>
      <c r="B2525" s="1" t="str">
        <f>TEXT(Coffee_sales_clean[[#This Row],[Transaction Date]],"dddd")</f>
        <v>Sunday</v>
      </c>
      <c r="C2525" s="12">
        <v>45648</v>
      </c>
      <c r="D2525" s="4">
        <v>0.91454046296296299</v>
      </c>
      <c r="E25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25" t="s">
        <v>5</v>
      </c>
      <c r="G2525" s="2">
        <v>25.96</v>
      </c>
    </row>
    <row r="2526" spans="1:7" x14ac:dyDescent="0.25">
      <c r="A25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241223-MOR001</v>
      </c>
      <c r="B2526" s="1" t="str">
        <f>TEXT(Coffee_sales_clean[[#This Row],[Transaction Date]],"dddd")</f>
        <v>Monday</v>
      </c>
      <c r="C2526" s="12">
        <v>45649</v>
      </c>
      <c r="D2526" s="4">
        <v>0.37732667824074073</v>
      </c>
      <c r="E25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26" t="s">
        <v>5</v>
      </c>
      <c r="G2526" s="2">
        <v>25.96</v>
      </c>
    </row>
    <row r="2527" spans="1:7" x14ac:dyDescent="0.25">
      <c r="A25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241223-MOR002</v>
      </c>
      <c r="B2527" s="1" t="str">
        <f>TEXT(Coffee_sales_clean[[#This Row],[Transaction Date]],"dddd")</f>
        <v>Monday</v>
      </c>
      <c r="C2527" s="12">
        <v>45649</v>
      </c>
      <c r="D2527" s="4">
        <v>0.39048489583333335</v>
      </c>
      <c r="E25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27" t="s">
        <v>3</v>
      </c>
      <c r="G2527" s="2">
        <v>30.86</v>
      </c>
    </row>
    <row r="2528" spans="1:7" x14ac:dyDescent="0.25">
      <c r="A25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241223-MOR003</v>
      </c>
      <c r="B2528" s="1" t="str">
        <f>TEXT(Coffee_sales_clean[[#This Row],[Transaction Date]],"dddd")</f>
        <v>Monday</v>
      </c>
      <c r="C2528" s="12">
        <v>45649</v>
      </c>
      <c r="D2528" s="4">
        <v>0.44587287037037038</v>
      </c>
      <c r="E25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28" t="s">
        <v>3</v>
      </c>
      <c r="G2528" s="2">
        <v>30.86</v>
      </c>
    </row>
    <row r="2529" spans="1:7" x14ac:dyDescent="0.25">
      <c r="A25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241223-LUN001</v>
      </c>
      <c r="B2529" s="1" t="str">
        <f>TEXT(Coffee_sales_clean[[#This Row],[Transaction Date]],"dddd")</f>
        <v>Monday</v>
      </c>
      <c r="C2529" s="12">
        <v>45649</v>
      </c>
      <c r="D2529" s="4">
        <v>0.48326884259259262</v>
      </c>
      <c r="E25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29" t="s">
        <v>7</v>
      </c>
      <c r="G2529" s="2">
        <v>35.76</v>
      </c>
    </row>
    <row r="2530" spans="1:7" x14ac:dyDescent="0.25">
      <c r="A25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241223-AFT001</v>
      </c>
      <c r="B2530" s="1" t="str">
        <f>TEXT(Coffee_sales_clean[[#This Row],[Transaction Date]],"dddd")</f>
        <v>Monday</v>
      </c>
      <c r="C2530" s="12">
        <v>45649</v>
      </c>
      <c r="D2530" s="4">
        <v>0.58717285879629633</v>
      </c>
      <c r="E25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30" t="s">
        <v>0</v>
      </c>
      <c r="G2530" s="2">
        <v>35.76</v>
      </c>
    </row>
    <row r="2531" spans="1:7" x14ac:dyDescent="0.25">
      <c r="A25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241223-AFT002</v>
      </c>
      <c r="B2531" s="1" t="str">
        <f>TEXT(Coffee_sales_clean[[#This Row],[Transaction Date]],"dddd")</f>
        <v>Monday</v>
      </c>
      <c r="C2531" s="12">
        <v>45649</v>
      </c>
      <c r="D2531" s="4">
        <v>0.62527406249999995</v>
      </c>
      <c r="E25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31" t="s">
        <v>3</v>
      </c>
      <c r="G2531" s="2">
        <v>30.86</v>
      </c>
    </row>
    <row r="2532" spans="1:7" x14ac:dyDescent="0.25">
      <c r="A25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241223-AFT003</v>
      </c>
      <c r="B2532" s="1" t="str">
        <f>TEXT(Coffee_sales_clean[[#This Row],[Transaction Date]],"dddd")</f>
        <v>Monday</v>
      </c>
      <c r="C2532" s="12">
        <v>45649</v>
      </c>
      <c r="D2532" s="4">
        <v>0.67697271990740737</v>
      </c>
      <c r="E25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32" t="s">
        <v>0</v>
      </c>
      <c r="G2532" s="2">
        <v>35.76</v>
      </c>
    </row>
    <row r="2533" spans="1:7" x14ac:dyDescent="0.25">
      <c r="A25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241223-EVE001</v>
      </c>
      <c r="B2533" s="1" t="str">
        <f>TEXT(Coffee_sales_clean[[#This Row],[Transaction Date]],"dddd")</f>
        <v>Monday</v>
      </c>
      <c r="C2533" s="12">
        <v>45649</v>
      </c>
      <c r="D2533" s="4">
        <v>0.72315387731481484</v>
      </c>
      <c r="E25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33" t="s">
        <v>5</v>
      </c>
      <c r="G2533" s="2">
        <v>25.96</v>
      </c>
    </row>
    <row r="2534" spans="1:7" x14ac:dyDescent="0.25">
      <c r="A25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241223-EVE002</v>
      </c>
      <c r="B2534" s="1" t="str">
        <f>TEXT(Coffee_sales_clean[[#This Row],[Transaction Date]],"dddd")</f>
        <v>Monday</v>
      </c>
      <c r="C2534" s="12">
        <v>45649</v>
      </c>
      <c r="D2534" s="4">
        <v>0.72407751157407407</v>
      </c>
      <c r="E25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34" t="s">
        <v>0</v>
      </c>
      <c r="G2534" s="2">
        <v>35.76</v>
      </c>
    </row>
    <row r="2535" spans="1:7" x14ac:dyDescent="0.25">
      <c r="A25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241223-LAT001</v>
      </c>
      <c r="B2535" s="1" t="str">
        <f>TEXT(Coffee_sales_clean[[#This Row],[Transaction Date]],"dddd")</f>
        <v>Monday</v>
      </c>
      <c r="C2535" s="12">
        <v>45649</v>
      </c>
      <c r="D2535" s="4">
        <v>0.86536141203703709</v>
      </c>
      <c r="E25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35" t="s">
        <v>5</v>
      </c>
      <c r="G2535" s="2">
        <v>25.96</v>
      </c>
    </row>
    <row r="2536" spans="1:7" x14ac:dyDescent="0.25">
      <c r="A25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241224-AFT001</v>
      </c>
      <c r="B2536" s="1" t="str">
        <f>TEXT(Coffee_sales_clean[[#This Row],[Transaction Date]],"dddd")</f>
        <v>Tuesday</v>
      </c>
      <c r="C2536" s="12">
        <v>45650</v>
      </c>
      <c r="D2536" s="4">
        <v>0.63244700231481477</v>
      </c>
      <c r="E25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36" t="s">
        <v>3</v>
      </c>
      <c r="G2536" s="2">
        <v>30.86</v>
      </c>
    </row>
    <row r="2537" spans="1:7" x14ac:dyDescent="0.25">
      <c r="A25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241224-AFT002</v>
      </c>
      <c r="B2537" s="1" t="str">
        <f>TEXT(Coffee_sales_clean[[#This Row],[Transaction Date]],"dddd")</f>
        <v>Tuesday</v>
      </c>
      <c r="C2537" s="12">
        <v>45650</v>
      </c>
      <c r="D2537" s="4">
        <v>0.67266354166666664</v>
      </c>
      <c r="E25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37" t="s">
        <v>1</v>
      </c>
      <c r="G2537" s="2">
        <v>35.76</v>
      </c>
    </row>
    <row r="2538" spans="1:7" x14ac:dyDescent="0.25">
      <c r="A25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241224-EVE001</v>
      </c>
      <c r="B2538" s="1" t="str">
        <f>TEXT(Coffee_sales_clean[[#This Row],[Transaction Date]],"dddd")</f>
        <v>Tuesday</v>
      </c>
      <c r="C2538" s="12">
        <v>45650</v>
      </c>
      <c r="D2538" s="4">
        <v>0.74685832175925926</v>
      </c>
      <c r="E25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38" t="s">
        <v>5</v>
      </c>
      <c r="G2538" s="2">
        <v>25.96</v>
      </c>
    </row>
    <row r="2539" spans="1:7" x14ac:dyDescent="0.25">
      <c r="A25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241224-EVE002</v>
      </c>
      <c r="B2539" s="1" t="str">
        <f>TEXT(Coffee_sales_clean[[#This Row],[Transaction Date]],"dddd")</f>
        <v>Tuesday</v>
      </c>
      <c r="C2539" s="12">
        <v>45650</v>
      </c>
      <c r="D2539" s="4">
        <v>0.79903092592592595</v>
      </c>
      <c r="E25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39" t="s">
        <v>1</v>
      </c>
      <c r="G2539" s="2">
        <v>35.76</v>
      </c>
    </row>
    <row r="2540" spans="1:7" x14ac:dyDescent="0.25">
      <c r="A25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241224-EVE003</v>
      </c>
      <c r="B2540" s="1" t="str">
        <f>TEXT(Coffee_sales_clean[[#This Row],[Transaction Date]],"dddd")</f>
        <v>Tuesday</v>
      </c>
      <c r="C2540" s="12">
        <v>45650</v>
      </c>
      <c r="D2540" s="4">
        <v>0.79973222222222218</v>
      </c>
      <c r="E25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40" t="s">
        <v>0</v>
      </c>
      <c r="G2540" s="2">
        <v>35.76</v>
      </c>
    </row>
    <row r="2541" spans="1:7" x14ac:dyDescent="0.25">
      <c r="A25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241224-EVE004</v>
      </c>
      <c r="B2541" s="1" t="str">
        <f>TEXT(Coffee_sales_clean[[#This Row],[Transaction Date]],"dddd")</f>
        <v>Tuesday</v>
      </c>
      <c r="C2541" s="12">
        <v>45650</v>
      </c>
      <c r="D2541" s="4">
        <v>0.80040488425925926</v>
      </c>
      <c r="E25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41" t="s">
        <v>6</v>
      </c>
      <c r="G2541" s="2">
        <v>21.06</v>
      </c>
    </row>
    <row r="2542" spans="1:7" x14ac:dyDescent="0.25">
      <c r="A25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241224-EVE005</v>
      </c>
      <c r="B2542" s="1" t="str">
        <f>TEXT(Coffee_sales_clean[[#This Row],[Transaction Date]],"dddd")</f>
        <v>Tuesday</v>
      </c>
      <c r="C2542" s="12">
        <v>45650</v>
      </c>
      <c r="D2542" s="4">
        <v>0.8166936574074074</v>
      </c>
      <c r="E25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42" t="s">
        <v>7</v>
      </c>
      <c r="G2542" s="2">
        <v>35.76</v>
      </c>
    </row>
    <row r="2543" spans="1:7" x14ac:dyDescent="0.25">
      <c r="A25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241225-MOR001</v>
      </c>
      <c r="B2543" s="1" t="str">
        <f>TEXT(Coffee_sales_clean[[#This Row],[Transaction Date]],"dddd")</f>
        <v>Wednesday</v>
      </c>
      <c r="C2543" s="12">
        <v>45651</v>
      </c>
      <c r="D2543" s="4">
        <v>0.44718540509259258</v>
      </c>
      <c r="E25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43" t="s">
        <v>0</v>
      </c>
      <c r="G2543" s="2">
        <v>35.76</v>
      </c>
    </row>
    <row r="2544" spans="1:7" x14ac:dyDescent="0.25">
      <c r="A25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241225-MOR002</v>
      </c>
      <c r="B2544" s="1" t="str">
        <f>TEXT(Coffee_sales_clean[[#This Row],[Transaction Date]],"dddd")</f>
        <v>Wednesday</v>
      </c>
      <c r="C2544" s="12">
        <v>45651</v>
      </c>
      <c r="D2544" s="4">
        <v>0.44794421296296294</v>
      </c>
      <c r="E25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44" t="s">
        <v>0</v>
      </c>
      <c r="G2544" s="2">
        <v>35.76</v>
      </c>
    </row>
    <row r="2545" spans="1:7" x14ac:dyDescent="0.25">
      <c r="A25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241225-LUN001</v>
      </c>
      <c r="B2545" s="1" t="str">
        <f>TEXT(Coffee_sales_clean[[#This Row],[Transaction Date]],"dddd")</f>
        <v>Wednesday</v>
      </c>
      <c r="C2545" s="12">
        <v>45651</v>
      </c>
      <c r="D2545" s="4">
        <v>0.52434357638888884</v>
      </c>
      <c r="E25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45" t="s">
        <v>3</v>
      </c>
      <c r="G2545" s="2">
        <v>30.86</v>
      </c>
    </row>
    <row r="2546" spans="1:7" x14ac:dyDescent="0.25">
      <c r="A25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241225-LUN002</v>
      </c>
      <c r="B2546" s="1" t="str">
        <f>TEXT(Coffee_sales_clean[[#This Row],[Transaction Date]],"dddd")</f>
        <v>Wednesday</v>
      </c>
      <c r="C2546" s="12">
        <v>45651</v>
      </c>
      <c r="D2546" s="4">
        <v>0.52500091435185181</v>
      </c>
      <c r="E25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46" t="s">
        <v>2</v>
      </c>
      <c r="G2546" s="2">
        <v>25.96</v>
      </c>
    </row>
    <row r="2547" spans="1:7" x14ac:dyDescent="0.25">
      <c r="A25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241225-LUN003</v>
      </c>
      <c r="B2547" s="1" t="str">
        <f>TEXT(Coffee_sales_clean[[#This Row],[Transaction Date]],"dddd")</f>
        <v>Wednesday</v>
      </c>
      <c r="C2547" s="12">
        <v>45651</v>
      </c>
      <c r="D2547" s="4">
        <v>0.55360415509259264</v>
      </c>
      <c r="E25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47" t="s">
        <v>3</v>
      </c>
      <c r="G2547" s="2">
        <v>30.86</v>
      </c>
    </row>
    <row r="2548" spans="1:7" x14ac:dyDescent="0.25">
      <c r="A25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241225-LUN004</v>
      </c>
      <c r="B2548" s="1" t="str">
        <f>TEXT(Coffee_sales_clean[[#This Row],[Transaction Date]],"dddd")</f>
        <v>Wednesday</v>
      </c>
      <c r="C2548" s="12">
        <v>45651</v>
      </c>
      <c r="D2548" s="4">
        <v>0.56443917824074075</v>
      </c>
      <c r="E25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48" t="s">
        <v>2</v>
      </c>
      <c r="G2548" s="2">
        <v>25.96</v>
      </c>
    </row>
    <row r="2549" spans="1:7" x14ac:dyDescent="0.25">
      <c r="A25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241225-LAT001</v>
      </c>
      <c r="B2549" s="1" t="str">
        <f>TEXT(Coffee_sales_clean[[#This Row],[Transaction Date]],"dddd")</f>
        <v>Wednesday</v>
      </c>
      <c r="C2549" s="12">
        <v>45651</v>
      </c>
      <c r="D2549" s="4">
        <v>0.83518901620370367</v>
      </c>
      <c r="E25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49" t="s">
        <v>7</v>
      </c>
      <c r="G2549" s="2">
        <v>35.76</v>
      </c>
    </row>
    <row r="2550" spans="1:7" x14ac:dyDescent="0.25">
      <c r="A25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241225-LAT002</v>
      </c>
      <c r="B2550" s="1" t="str">
        <f>TEXT(Coffee_sales_clean[[#This Row],[Transaction Date]],"dddd")</f>
        <v>Wednesday</v>
      </c>
      <c r="C2550" s="12">
        <v>45651</v>
      </c>
      <c r="D2550" s="4">
        <v>0.88807689814814816</v>
      </c>
      <c r="E25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50" t="s">
        <v>4</v>
      </c>
      <c r="G2550" s="2">
        <v>35.76</v>
      </c>
    </row>
    <row r="2551" spans="1:7" x14ac:dyDescent="0.25">
      <c r="A25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241225-LAT003</v>
      </c>
      <c r="B2551" s="1" t="str">
        <f>TEXT(Coffee_sales_clean[[#This Row],[Transaction Date]],"dddd")</f>
        <v>Wednesday</v>
      </c>
      <c r="C2551" s="12">
        <v>45651</v>
      </c>
      <c r="D2551" s="4">
        <v>0.88868163194444449</v>
      </c>
      <c r="E25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51" t="s">
        <v>4</v>
      </c>
      <c r="G2551" s="2">
        <v>35.76</v>
      </c>
    </row>
    <row r="2552" spans="1:7" x14ac:dyDescent="0.25">
      <c r="A25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241225-LAT004</v>
      </c>
      <c r="B2552" s="1" t="str">
        <f>TEXT(Coffee_sales_clean[[#This Row],[Transaction Date]],"dddd")</f>
        <v>Wednesday</v>
      </c>
      <c r="C2552" s="12">
        <v>45651</v>
      </c>
      <c r="D2552" s="4">
        <v>0.91493368055555557</v>
      </c>
      <c r="E25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52" t="s">
        <v>0</v>
      </c>
      <c r="G2552" s="2">
        <v>35.76</v>
      </c>
    </row>
    <row r="2553" spans="1:7" x14ac:dyDescent="0.25">
      <c r="A25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241225-LAT005</v>
      </c>
      <c r="B2553" s="1" t="str">
        <f>TEXT(Coffee_sales_clean[[#This Row],[Transaction Date]],"dddd")</f>
        <v>Wednesday</v>
      </c>
      <c r="C2553" s="12">
        <v>45651</v>
      </c>
      <c r="D2553" s="4">
        <v>0.95211690972222218</v>
      </c>
      <c r="E25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53" t="s">
        <v>7</v>
      </c>
      <c r="G2553" s="2">
        <v>35.76</v>
      </c>
    </row>
    <row r="2554" spans="1:7" x14ac:dyDescent="0.25">
      <c r="A25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241225-LAT006</v>
      </c>
      <c r="B2554" s="1" t="str">
        <f>TEXT(Coffee_sales_clean[[#This Row],[Transaction Date]],"dddd")</f>
        <v>Wednesday</v>
      </c>
      <c r="C2554" s="12">
        <v>45651</v>
      </c>
      <c r="D2554" s="4">
        <v>0.95354659722222224</v>
      </c>
      <c r="E25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54" t="s">
        <v>3</v>
      </c>
      <c r="G2554" s="2">
        <v>30.86</v>
      </c>
    </row>
    <row r="2555" spans="1:7" x14ac:dyDescent="0.25">
      <c r="A25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241226-LUN001</v>
      </c>
      <c r="B2555" s="1" t="str">
        <f>TEXT(Coffee_sales_clean[[#This Row],[Transaction Date]],"dddd")</f>
        <v>Thursday</v>
      </c>
      <c r="C2555" s="12">
        <v>45652</v>
      </c>
      <c r="D2555" s="4">
        <v>0.55043912037037035</v>
      </c>
      <c r="E25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55" t="s">
        <v>7</v>
      </c>
      <c r="G2555" s="2">
        <v>35.76</v>
      </c>
    </row>
    <row r="2556" spans="1:7" x14ac:dyDescent="0.25">
      <c r="A25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241226-AFT001</v>
      </c>
      <c r="B2556" s="1" t="str">
        <f>TEXT(Coffee_sales_clean[[#This Row],[Transaction Date]],"dddd")</f>
        <v>Thursday</v>
      </c>
      <c r="C2556" s="12">
        <v>45652</v>
      </c>
      <c r="D2556" s="4">
        <v>0.62817674768518517</v>
      </c>
      <c r="E25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56" t="s">
        <v>6</v>
      </c>
      <c r="G2556" s="2">
        <v>21.06</v>
      </c>
    </row>
    <row r="2557" spans="1:7" x14ac:dyDescent="0.25">
      <c r="A25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241227-MOR001</v>
      </c>
      <c r="B2557" s="1" t="str">
        <f>TEXT(Coffee_sales_clean[[#This Row],[Transaction Date]],"dddd")</f>
        <v>Friday</v>
      </c>
      <c r="C2557" s="12">
        <v>45653</v>
      </c>
      <c r="D2557" s="4">
        <v>0.32662859953703705</v>
      </c>
      <c r="E25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57" t="s">
        <v>2</v>
      </c>
      <c r="G2557" s="2">
        <v>25.96</v>
      </c>
    </row>
    <row r="2558" spans="1:7" x14ac:dyDescent="0.25">
      <c r="A25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241227-MOR002</v>
      </c>
      <c r="B2558" s="1" t="str">
        <f>TEXT(Coffee_sales_clean[[#This Row],[Transaction Date]],"dddd")</f>
        <v>Friday</v>
      </c>
      <c r="C2558" s="12">
        <v>45653</v>
      </c>
      <c r="D2558" s="4">
        <v>0.37336703703703705</v>
      </c>
      <c r="E25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58" t="s">
        <v>5</v>
      </c>
      <c r="G2558" s="2">
        <v>25.96</v>
      </c>
    </row>
    <row r="2559" spans="1:7" x14ac:dyDescent="0.25">
      <c r="A25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241227-MOR003</v>
      </c>
      <c r="B2559" s="1" t="str">
        <f>TEXT(Coffee_sales_clean[[#This Row],[Transaction Date]],"dddd")</f>
        <v>Friday</v>
      </c>
      <c r="C2559" s="12">
        <v>45653</v>
      </c>
      <c r="D2559" s="4">
        <v>0.38188918981481479</v>
      </c>
      <c r="E25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59" t="s">
        <v>5</v>
      </c>
      <c r="G2559" s="2">
        <v>25.96</v>
      </c>
    </row>
    <row r="2560" spans="1:7" x14ac:dyDescent="0.25">
      <c r="A25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241227-MOR004</v>
      </c>
      <c r="B2560" s="1" t="str">
        <f>TEXT(Coffee_sales_clean[[#This Row],[Transaction Date]],"dddd")</f>
        <v>Friday</v>
      </c>
      <c r="C2560" s="12">
        <v>45653</v>
      </c>
      <c r="D2560" s="4">
        <v>0.42561834490740741</v>
      </c>
      <c r="E25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60" t="s">
        <v>3</v>
      </c>
      <c r="G2560" s="2">
        <v>30.86</v>
      </c>
    </row>
    <row r="2561" spans="1:7" x14ac:dyDescent="0.25">
      <c r="A25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241227-EVE001</v>
      </c>
      <c r="B2561" s="1" t="str">
        <f>TEXT(Coffee_sales_clean[[#This Row],[Transaction Date]],"dddd")</f>
        <v>Friday</v>
      </c>
      <c r="C2561" s="12">
        <v>45653</v>
      </c>
      <c r="D2561" s="4">
        <v>0.71672038194444443</v>
      </c>
      <c r="E25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61" t="s">
        <v>0</v>
      </c>
      <c r="G2561" s="2">
        <v>35.76</v>
      </c>
    </row>
    <row r="2562" spans="1:7" x14ac:dyDescent="0.25">
      <c r="A25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241227-EVE002</v>
      </c>
      <c r="B2562" s="1" t="str">
        <f>TEXT(Coffee_sales_clean[[#This Row],[Transaction Date]],"dddd")</f>
        <v>Friday</v>
      </c>
      <c r="C2562" s="12">
        <v>45653</v>
      </c>
      <c r="D2562" s="4">
        <v>0.82462795138888889</v>
      </c>
      <c r="E25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62" t="s">
        <v>2</v>
      </c>
      <c r="G2562" s="2">
        <v>25.96</v>
      </c>
    </row>
    <row r="2563" spans="1:7" x14ac:dyDescent="0.25">
      <c r="A25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241227-EVE003</v>
      </c>
      <c r="B2563" s="1" t="str">
        <f>TEXT(Coffee_sales_clean[[#This Row],[Transaction Date]],"dddd")</f>
        <v>Friday</v>
      </c>
      <c r="C2563" s="12">
        <v>45653</v>
      </c>
      <c r="D2563" s="4">
        <v>0.82525049768518521</v>
      </c>
      <c r="E25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63" t="s">
        <v>3</v>
      </c>
      <c r="G2563" s="2">
        <v>30.86</v>
      </c>
    </row>
    <row r="2564" spans="1:7" x14ac:dyDescent="0.25">
      <c r="A25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241227-LAT001</v>
      </c>
      <c r="B2564" s="1" t="str">
        <f>TEXT(Coffee_sales_clean[[#This Row],[Transaction Date]],"dddd")</f>
        <v>Friday</v>
      </c>
      <c r="C2564" s="12">
        <v>45653</v>
      </c>
      <c r="D2564" s="4">
        <v>0.95454737268518519</v>
      </c>
      <c r="E25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64" t="s">
        <v>4</v>
      </c>
      <c r="G2564" s="2">
        <v>35.76</v>
      </c>
    </row>
    <row r="2565" spans="1:7" x14ac:dyDescent="0.25">
      <c r="A25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241228-MOR001</v>
      </c>
      <c r="B2565" s="1" t="str">
        <f>TEXT(Coffee_sales_clean[[#This Row],[Transaction Date]],"dddd")</f>
        <v>Saturday</v>
      </c>
      <c r="C2565" s="12">
        <v>45654</v>
      </c>
      <c r="D2565" s="4">
        <v>0.37527158564814816</v>
      </c>
      <c r="E25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65" t="s">
        <v>5</v>
      </c>
      <c r="G2565" s="2">
        <v>25.96</v>
      </c>
    </row>
    <row r="2566" spans="1:7" x14ac:dyDescent="0.25">
      <c r="A25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241228-MOR002</v>
      </c>
      <c r="B2566" s="1" t="str">
        <f>TEXT(Coffee_sales_clean[[#This Row],[Transaction Date]],"dddd")</f>
        <v>Saturday</v>
      </c>
      <c r="C2566" s="12">
        <v>45654</v>
      </c>
      <c r="D2566" s="4">
        <v>0.41016144675925925</v>
      </c>
      <c r="E25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66" t="s">
        <v>5</v>
      </c>
      <c r="G2566" s="2">
        <v>25.96</v>
      </c>
    </row>
    <row r="2567" spans="1:7" x14ac:dyDescent="0.25">
      <c r="A25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241228-MOR003</v>
      </c>
      <c r="B2567" s="1" t="str">
        <f>TEXT(Coffee_sales_clean[[#This Row],[Transaction Date]],"dddd")</f>
        <v>Saturday</v>
      </c>
      <c r="C2567" s="12">
        <v>45654</v>
      </c>
      <c r="D2567" s="4">
        <v>0.42967854166666669</v>
      </c>
      <c r="E25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67" t="s">
        <v>3</v>
      </c>
      <c r="G2567" s="2">
        <v>30.86</v>
      </c>
    </row>
    <row r="2568" spans="1:7" x14ac:dyDescent="0.25">
      <c r="A25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241228-MOR004</v>
      </c>
      <c r="B2568" s="1" t="str">
        <f>TEXT(Coffee_sales_clean[[#This Row],[Transaction Date]],"dddd")</f>
        <v>Saturday</v>
      </c>
      <c r="C2568" s="12">
        <v>45654</v>
      </c>
      <c r="D2568" s="4">
        <v>0.45281394675925923</v>
      </c>
      <c r="E25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68" t="s">
        <v>0</v>
      </c>
      <c r="G2568" s="2">
        <v>35.76</v>
      </c>
    </row>
    <row r="2569" spans="1:7" x14ac:dyDescent="0.25">
      <c r="A25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241228-AFT001</v>
      </c>
      <c r="B2569" s="1" t="str">
        <f>TEXT(Coffee_sales_clean[[#This Row],[Transaction Date]],"dddd")</f>
        <v>Saturday</v>
      </c>
      <c r="C2569" s="12">
        <v>45654</v>
      </c>
      <c r="D2569" s="4">
        <v>0.59029266203703701</v>
      </c>
      <c r="E25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69" t="s">
        <v>7</v>
      </c>
      <c r="G2569" s="2">
        <v>35.76</v>
      </c>
    </row>
    <row r="2570" spans="1:7" x14ac:dyDescent="0.25">
      <c r="A25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241228-AFT002</v>
      </c>
      <c r="B2570" s="1" t="str">
        <f>TEXT(Coffee_sales_clean[[#This Row],[Transaction Date]],"dddd")</f>
        <v>Saturday</v>
      </c>
      <c r="C2570" s="12">
        <v>45654</v>
      </c>
      <c r="D2570" s="4">
        <v>0.59256202546296299</v>
      </c>
      <c r="E25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70" t="s">
        <v>1</v>
      </c>
      <c r="G2570" s="2">
        <v>35.76</v>
      </c>
    </row>
    <row r="2571" spans="1:7" x14ac:dyDescent="0.25">
      <c r="A25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241228-EVE001</v>
      </c>
      <c r="B2571" s="1" t="str">
        <f>TEXT(Coffee_sales_clean[[#This Row],[Transaction Date]],"dddd")</f>
        <v>Saturday</v>
      </c>
      <c r="C2571" s="12">
        <v>45654</v>
      </c>
      <c r="D2571" s="4">
        <v>0.7247716666666667</v>
      </c>
      <c r="E25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71" t="s">
        <v>0</v>
      </c>
      <c r="G2571" s="2">
        <v>35.76</v>
      </c>
    </row>
    <row r="2572" spans="1:7" x14ac:dyDescent="0.25">
      <c r="A25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241228-LAT001</v>
      </c>
      <c r="B2572" s="1" t="str">
        <f>TEXT(Coffee_sales_clean[[#This Row],[Transaction Date]],"dddd")</f>
        <v>Saturday</v>
      </c>
      <c r="C2572" s="12">
        <v>45654</v>
      </c>
      <c r="D2572" s="4">
        <v>0.92432663194444442</v>
      </c>
      <c r="E25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72" t="s">
        <v>7</v>
      </c>
      <c r="G2572" s="2">
        <v>35.76</v>
      </c>
    </row>
    <row r="2573" spans="1:7" x14ac:dyDescent="0.25">
      <c r="A25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241229-LUN001</v>
      </c>
      <c r="B2573" s="1" t="str">
        <f>TEXT(Coffee_sales_clean[[#This Row],[Transaction Date]],"dddd")</f>
        <v>Sunday</v>
      </c>
      <c r="C2573" s="12">
        <v>45655</v>
      </c>
      <c r="D2573" s="4">
        <v>0.57380135416666667</v>
      </c>
      <c r="E25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73" t="s">
        <v>5</v>
      </c>
      <c r="G2573" s="2">
        <v>25.96</v>
      </c>
    </row>
    <row r="2574" spans="1:7" x14ac:dyDescent="0.25">
      <c r="A25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241229-AFT001</v>
      </c>
      <c r="B2574" s="1" t="str">
        <f>TEXT(Coffee_sales_clean[[#This Row],[Transaction Date]],"dddd")</f>
        <v>Sunday</v>
      </c>
      <c r="C2574" s="12">
        <v>45655</v>
      </c>
      <c r="D2574" s="4">
        <v>0.62808601851851853</v>
      </c>
      <c r="E25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74" t="s">
        <v>6</v>
      </c>
      <c r="G2574" s="2">
        <v>21.06</v>
      </c>
    </row>
    <row r="2575" spans="1:7" x14ac:dyDescent="0.25">
      <c r="A25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241229-AFT002</v>
      </c>
      <c r="B2575" s="1" t="str">
        <f>TEXT(Coffee_sales_clean[[#This Row],[Transaction Date]],"dddd")</f>
        <v>Sunday</v>
      </c>
      <c r="C2575" s="12">
        <v>45655</v>
      </c>
      <c r="D2575" s="4">
        <v>0.62866114583333332</v>
      </c>
      <c r="E25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75" t="s">
        <v>2</v>
      </c>
      <c r="G2575" s="2">
        <v>25.96</v>
      </c>
    </row>
    <row r="2576" spans="1:7" x14ac:dyDescent="0.25">
      <c r="A25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241229-EVE001</v>
      </c>
      <c r="B2576" s="1" t="str">
        <f>TEXT(Coffee_sales_clean[[#This Row],[Transaction Date]],"dddd")</f>
        <v>Sunday</v>
      </c>
      <c r="C2576" s="12">
        <v>45655</v>
      </c>
      <c r="D2576" s="4">
        <v>0.729218900462963</v>
      </c>
      <c r="E25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76" t="s">
        <v>5</v>
      </c>
      <c r="G2576" s="2">
        <v>25.96</v>
      </c>
    </row>
    <row r="2577" spans="1:7" x14ac:dyDescent="0.25">
      <c r="A25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241229-EVE002</v>
      </c>
      <c r="B2577" s="1" t="str">
        <f>TEXT(Coffee_sales_clean[[#This Row],[Transaction Date]],"dddd")</f>
        <v>Sunday</v>
      </c>
      <c r="C2577" s="12">
        <v>45655</v>
      </c>
      <c r="D2577" s="4">
        <v>0.73040164351851855</v>
      </c>
      <c r="E25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77" t="s">
        <v>6</v>
      </c>
      <c r="G2577" s="2">
        <v>21.06</v>
      </c>
    </row>
    <row r="2578" spans="1:7" x14ac:dyDescent="0.25">
      <c r="A25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241229-EVE003</v>
      </c>
      <c r="B2578" s="1" t="str">
        <f>TEXT(Coffee_sales_clean[[#This Row],[Transaction Date]],"dddd")</f>
        <v>Sunday</v>
      </c>
      <c r="C2578" s="12">
        <v>45655</v>
      </c>
      <c r="D2578" s="4">
        <v>0.82481185185185191</v>
      </c>
      <c r="E25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578" t="s">
        <v>5</v>
      </c>
      <c r="G2578" s="2">
        <v>25.96</v>
      </c>
    </row>
    <row r="2579" spans="1:7" x14ac:dyDescent="0.25">
      <c r="A25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241229-LAT001</v>
      </c>
      <c r="B2579" s="1" t="str">
        <f>TEXT(Coffee_sales_clean[[#This Row],[Transaction Date]],"dddd")</f>
        <v>Sunday</v>
      </c>
      <c r="C2579" s="12">
        <v>45655</v>
      </c>
      <c r="D2579" s="4">
        <v>0.85132211805555558</v>
      </c>
      <c r="E25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79" t="s">
        <v>1</v>
      </c>
      <c r="G2579" s="2">
        <v>35.76</v>
      </c>
    </row>
    <row r="2580" spans="1:7" x14ac:dyDescent="0.25">
      <c r="A25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241229-LAT002</v>
      </c>
      <c r="B2580" s="1" t="str">
        <f>TEXT(Coffee_sales_clean[[#This Row],[Transaction Date]],"dddd")</f>
        <v>Sunday</v>
      </c>
      <c r="C2580" s="12">
        <v>45655</v>
      </c>
      <c r="D2580" s="4">
        <v>0.88702928240740742</v>
      </c>
      <c r="E25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580" t="s">
        <v>0</v>
      </c>
      <c r="G2580" s="2">
        <v>35.76</v>
      </c>
    </row>
    <row r="2581" spans="1:7" x14ac:dyDescent="0.25">
      <c r="A25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241230-MOR001</v>
      </c>
      <c r="B2581" s="1" t="str">
        <f>TEXT(Coffee_sales_clean[[#This Row],[Transaction Date]],"dddd")</f>
        <v>Monday</v>
      </c>
      <c r="C2581" s="12">
        <v>45656</v>
      </c>
      <c r="D2581" s="4">
        <v>0.37690141203703703</v>
      </c>
      <c r="E25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81" t="s">
        <v>5</v>
      </c>
      <c r="G2581" s="2">
        <v>25.96</v>
      </c>
    </row>
    <row r="2582" spans="1:7" x14ac:dyDescent="0.25">
      <c r="A25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241230-MOR002</v>
      </c>
      <c r="B2582" s="1" t="str">
        <f>TEXT(Coffee_sales_clean[[#This Row],[Transaction Date]],"dddd")</f>
        <v>Monday</v>
      </c>
      <c r="C2582" s="12">
        <v>45656</v>
      </c>
      <c r="D2582" s="4">
        <v>0.40569401620370371</v>
      </c>
      <c r="E25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82" t="s">
        <v>3</v>
      </c>
      <c r="G2582" s="2">
        <v>30.86</v>
      </c>
    </row>
    <row r="2583" spans="1:7" x14ac:dyDescent="0.25">
      <c r="A25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241230-LUN001</v>
      </c>
      <c r="B2583" s="1" t="str">
        <f>TEXT(Coffee_sales_clean[[#This Row],[Transaction Date]],"dddd")</f>
        <v>Monday</v>
      </c>
      <c r="C2583" s="12">
        <v>45656</v>
      </c>
      <c r="D2583" s="4">
        <v>0.57814069444444449</v>
      </c>
      <c r="E25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83" t="s">
        <v>0</v>
      </c>
      <c r="G2583" s="2">
        <v>35.76</v>
      </c>
    </row>
    <row r="2584" spans="1:7" x14ac:dyDescent="0.25">
      <c r="A25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241230-LUN002</v>
      </c>
      <c r="B2584" s="1" t="str">
        <f>TEXT(Coffee_sales_clean[[#This Row],[Transaction Date]],"dddd")</f>
        <v>Monday</v>
      </c>
      <c r="C2584" s="12">
        <v>45656</v>
      </c>
      <c r="D2584" s="4">
        <v>0.5789265393518519</v>
      </c>
      <c r="E25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84" t="s">
        <v>1</v>
      </c>
      <c r="G2584" s="2">
        <v>35.76</v>
      </c>
    </row>
    <row r="2585" spans="1:7" x14ac:dyDescent="0.25">
      <c r="A25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241230-AFT001</v>
      </c>
      <c r="B2585" s="1" t="str">
        <f>TEXT(Coffee_sales_clean[[#This Row],[Transaction Date]],"dddd")</f>
        <v>Monday</v>
      </c>
      <c r="C2585" s="12">
        <v>45656</v>
      </c>
      <c r="D2585" s="4">
        <v>0.63385466435185189</v>
      </c>
      <c r="E25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85" t="s">
        <v>0</v>
      </c>
      <c r="G2585" s="2">
        <v>35.76</v>
      </c>
    </row>
    <row r="2586" spans="1:7" x14ac:dyDescent="0.25">
      <c r="A25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241230-AFT002</v>
      </c>
      <c r="B2586" s="1" t="str">
        <f>TEXT(Coffee_sales_clean[[#This Row],[Transaction Date]],"dddd")</f>
        <v>Monday</v>
      </c>
      <c r="C2586" s="12">
        <v>45656</v>
      </c>
      <c r="D2586" s="4">
        <v>0.63447559027777778</v>
      </c>
      <c r="E25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86" t="s">
        <v>3</v>
      </c>
      <c r="G2586" s="2">
        <v>30.86</v>
      </c>
    </row>
    <row r="2587" spans="1:7" x14ac:dyDescent="0.25">
      <c r="A25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241230-AFT003</v>
      </c>
      <c r="B2587" s="1" t="str">
        <f>TEXT(Coffee_sales_clean[[#This Row],[Transaction Date]],"dddd")</f>
        <v>Monday</v>
      </c>
      <c r="C2587" s="12">
        <v>45656</v>
      </c>
      <c r="D2587" s="4">
        <v>0.68742920138888886</v>
      </c>
      <c r="E25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87" t="s">
        <v>3</v>
      </c>
      <c r="G2587" s="2">
        <v>30.86</v>
      </c>
    </row>
    <row r="2588" spans="1:7" x14ac:dyDescent="0.25">
      <c r="A25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241230-AFT004</v>
      </c>
      <c r="B2588" s="1" t="str">
        <f>TEXT(Coffee_sales_clean[[#This Row],[Transaction Date]],"dddd")</f>
        <v>Monday</v>
      </c>
      <c r="C2588" s="12">
        <v>45656</v>
      </c>
      <c r="D2588" s="4">
        <v>0.68852693287037037</v>
      </c>
      <c r="E25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88" t="s">
        <v>2</v>
      </c>
      <c r="G2588" s="2">
        <v>25.96</v>
      </c>
    </row>
    <row r="2589" spans="1:7" x14ac:dyDescent="0.25">
      <c r="A25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241230-AFT005</v>
      </c>
      <c r="B2589" s="1" t="str">
        <f>TEXT(Coffee_sales_clean[[#This Row],[Transaction Date]],"dddd")</f>
        <v>Monday</v>
      </c>
      <c r="C2589" s="12">
        <v>45656</v>
      </c>
      <c r="D2589" s="4">
        <v>0.69219387731481485</v>
      </c>
      <c r="E25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89" t="s">
        <v>7</v>
      </c>
      <c r="G2589" s="2">
        <v>35.76</v>
      </c>
    </row>
    <row r="2590" spans="1:7" x14ac:dyDescent="0.25">
      <c r="A25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241231-MOR001</v>
      </c>
      <c r="B2590" s="1" t="str">
        <f>TEXT(Coffee_sales_clean[[#This Row],[Transaction Date]],"dddd")</f>
        <v>Tuesday</v>
      </c>
      <c r="C2590" s="12">
        <v>45657</v>
      </c>
      <c r="D2590" s="4">
        <v>0.36977640046296295</v>
      </c>
      <c r="E25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90" t="s">
        <v>5</v>
      </c>
      <c r="G2590" s="2">
        <v>25.96</v>
      </c>
    </row>
    <row r="2591" spans="1:7" x14ac:dyDescent="0.25">
      <c r="A25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241231-MOR002</v>
      </c>
      <c r="B2591" s="1" t="str">
        <f>TEXT(Coffee_sales_clean[[#This Row],[Transaction Date]],"dddd")</f>
        <v>Tuesday</v>
      </c>
      <c r="C2591" s="12">
        <v>45657</v>
      </c>
      <c r="D2591" s="4">
        <v>0.40057883101851854</v>
      </c>
      <c r="E25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91" t="s">
        <v>7</v>
      </c>
      <c r="G2591" s="2">
        <v>35.76</v>
      </c>
    </row>
    <row r="2592" spans="1:7" x14ac:dyDescent="0.25">
      <c r="A25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241231-MOR003</v>
      </c>
      <c r="B2592" s="1" t="str">
        <f>TEXT(Coffee_sales_clean[[#This Row],[Transaction Date]],"dddd")</f>
        <v>Tuesday</v>
      </c>
      <c r="C2592" s="12">
        <v>45657</v>
      </c>
      <c r="D2592" s="4">
        <v>0.40256333333333333</v>
      </c>
      <c r="E25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92" t="s">
        <v>5</v>
      </c>
      <c r="G2592" s="2">
        <v>25.96</v>
      </c>
    </row>
    <row r="2593" spans="1:7" x14ac:dyDescent="0.25">
      <c r="A25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241231-MOR004</v>
      </c>
      <c r="B2593" s="1" t="str">
        <f>TEXT(Coffee_sales_clean[[#This Row],[Transaction Date]],"dddd")</f>
        <v>Tuesday</v>
      </c>
      <c r="C2593" s="12">
        <v>45657</v>
      </c>
      <c r="D2593" s="4">
        <v>0.40658015046296297</v>
      </c>
      <c r="E25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93" t="s">
        <v>4</v>
      </c>
      <c r="G2593" s="2">
        <v>35.76</v>
      </c>
    </row>
    <row r="2594" spans="1:7" x14ac:dyDescent="0.25">
      <c r="A25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241231-MOR005</v>
      </c>
      <c r="B2594" s="1" t="str">
        <f>TEXT(Coffee_sales_clean[[#This Row],[Transaction Date]],"dddd")</f>
        <v>Tuesday</v>
      </c>
      <c r="C2594" s="12">
        <v>45657</v>
      </c>
      <c r="D2594" s="4">
        <v>0.43533532407407405</v>
      </c>
      <c r="E25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94" t="s">
        <v>3</v>
      </c>
      <c r="G2594" s="2">
        <v>30.86</v>
      </c>
    </row>
    <row r="2595" spans="1:7" x14ac:dyDescent="0.25">
      <c r="A25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241231-MOR006</v>
      </c>
      <c r="B2595" s="1" t="str">
        <f>TEXT(Coffee_sales_clean[[#This Row],[Transaction Date]],"dddd")</f>
        <v>Tuesday</v>
      </c>
      <c r="C2595" s="12">
        <v>45657</v>
      </c>
      <c r="D2595" s="4">
        <v>0.43713207175925928</v>
      </c>
      <c r="E25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595" t="s">
        <v>3</v>
      </c>
      <c r="G2595" s="2">
        <v>30.86</v>
      </c>
    </row>
    <row r="2596" spans="1:7" x14ac:dyDescent="0.25">
      <c r="A25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241231-LUN001</v>
      </c>
      <c r="B2596" s="1" t="str">
        <f>TEXT(Coffee_sales_clean[[#This Row],[Transaction Date]],"dddd")</f>
        <v>Tuesday</v>
      </c>
      <c r="C2596" s="12">
        <v>45657</v>
      </c>
      <c r="D2596" s="4">
        <v>0.46632833333333334</v>
      </c>
      <c r="E25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96" t="s">
        <v>7</v>
      </c>
      <c r="G2596" s="2">
        <v>35.76</v>
      </c>
    </row>
    <row r="2597" spans="1:7" x14ac:dyDescent="0.25">
      <c r="A25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241231-LUN002</v>
      </c>
      <c r="B2597" s="1" t="str">
        <f>TEXT(Coffee_sales_clean[[#This Row],[Transaction Date]],"dddd")</f>
        <v>Tuesday</v>
      </c>
      <c r="C2597" s="12">
        <v>45657</v>
      </c>
      <c r="D2597" s="4">
        <v>0.46715339120370369</v>
      </c>
      <c r="E25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597" t="s">
        <v>3</v>
      </c>
      <c r="G2597" s="2">
        <v>30.86</v>
      </c>
    </row>
    <row r="2598" spans="1:7" x14ac:dyDescent="0.25">
      <c r="A25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241231-AFT001</v>
      </c>
      <c r="B2598" s="1" t="str">
        <f>TEXT(Coffee_sales_clean[[#This Row],[Transaction Date]],"dddd")</f>
        <v>Tuesday</v>
      </c>
      <c r="C2598" s="12">
        <v>45657</v>
      </c>
      <c r="D2598" s="4">
        <v>0.65432978009259257</v>
      </c>
      <c r="E25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98" t="s">
        <v>6</v>
      </c>
      <c r="G2598" s="2">
        <v>21.06</v>
      </c>
    </row>
    <row r="2599" spans="1:7" x14ac:dyDescent="0.25">
      <c r="A25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241231-AFT002</v>
      </c>
      <c r="B2599" s="1" t="str">
        <f>TEXT(Coffee_sales_clean[[#This Row],[Transaction Date]],"dddd")</f>
        <v>Tuesday</v>
      </c>
      <c r="C2599" s="12">
        <v>45657</v>
      </c>
      <c r="D2599" s="4">
        <v>0.65501504629629625</v>
      </c>
      <c r="E25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599" t="s">
        <v>2</v>
      </c>
      <c r="G2599" s="2">
        <v>25.96</v>
      </c>
    </row>
    <row r="2600" spans="1:7" x14ac:dyDescent="0.25">
      <c r="A26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241231-AFT003</v>
      </c>
      <c r="B2600" s="1" t="str">
        <f>TEXT(Coffee_sales_clean[[#This Row],[Transaction Date]],"dddd")</f>
        <v>Tuesday</v>
      </c>
      <c r="C2600" s="12">
        <v>45657</v>
      </c>
      <c r="D2600" s="4">
        <v>0.67174633101851855</v>
      </c>
      <c r="E26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00" t="s">
        <v>7</v>
      </c>
      <c r="G2600" s="2">
        <v>35.76</v>
      </c>
    </row>
    <row r="2601" spans="1:7" x14ac:dyDescent="0.25">
      <c r="A26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241231-EVE001</v>
      </c>
      <c r="B2601" s="1" t="str">
        <f>TEXT(Coffee_sales_clean[[#This Row],[Transaction Date]],"dddd")</f>
        <v>Tuesday</v>
      </c>
      <c r="C2601" s="12">
        <v>45657</v>
      </c>
      <c r="D2601" s="4">
        <v>0.71548075231481478</v>
      </c>
      <c r="E26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01" t="s">
        <v>0</v>
      </c>
      <c r="G2601" s="2">
        <v>35.76</v>
      </c>
    </row>
    <row r="2602" spans="1:7" x14ac:dyDescent="0.25">
      <c r="A26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241231-EVE002</v>
      </c>
      <c r="B2602" s="1" t="str">
        <f>TEXT(Coffee_sales_clean[[#This Row],[Transaction Date]],"dddd")</f>
        <v>Tuesday</v>
      </c>
      <c r="C2602" s="12">
        <v>45657</v>
      </c>
      <c r="D2602" s="4">
        <v>0.7297776041666667</v>
      </c>
      <c r="E26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02" t="s">
        <v>3</v>
      </c>
      <c r="G2602" s="2">
        <v>30.86</v>
      </c>
    </row>
    <row r="2603" spans="1:7" x14ac:dyDescent="0.25">
      <c r="A26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241231-EVE003</v>
      </c>
      <c r="B2603" s="1" t="str">
        <f>TEXT(Coffee_sales_clean[[#This Row],[Transaction Date]],"dddd")</f>
        <v>Tuesday</v>
      </c>
      <c r="C2603" s="12">
        <v>45657</v>
      </c>
      <c r="D2603" s="4">
        <v>0.73042295138888891</v>
      </c>
      <c r="E26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03" t="s">
        <v>7</v>
      </c>
      <c r="G2603" s="2">
        <v>35.76</v>
      </c>
    </row>
    <row r="2604" spans="1:7" x14ac:dyDescent="0.25">
      <c r="A26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241231-EVE004</v>
      </c>
      <c r="B2604" s="1" t="str">
        <f>TEXT(Coffee_sales_clean[[#This Row],[Transaction Date]],"dddd")</f>
        <v>Tuesday</v>
      </c>
      <c r="C2604" s="12">
        <v>45657</v>
      </c>
      <c r="D2604" s="4">
        <v>0.79682190972222222</v>
      </c>
      <c r="E26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04" t="s">
        <v>0</v>
      </c>
      <c r="G2604" s="2">
        <v>35.76</v>
      </c>
    </row>
    <row r="2605" spans="1:7" x14ac:dyDescent="0.25">
      <c r="A26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241231-EVE005</v>
      </c>
      <c r="B2605" s="1" t="str">
        <f>TEXT(Coffee_sales_clean[[#This Row],[Transaction Date]],"dddd")</f>
        <v>Tuesday</v>
      </c>
      <c r="C2605" s="12">
        <v>45657</v>
      </c>
      <c r="D2605" s="4">
        <v>0.79767244212962962</v>
      </c>
      <c r="E26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05" t="s">
        <v>1</v>
      </c>
      <c r="G2605" s="2">
        <v>35.76</v>
      </c>
    </row>
    <row r="2606" spans="1:7" x14ac:dyDescent="0.25">
      <c r="A26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250102-MOR001</v>
      </c>
      <c r="B2606" s="1" t="str">
        <f>TEXT(Coffee_sales_clean[[#This Row],[Transaction Date]],"dddd")</f>
        <v>Thursday</v>
      </c>
      <c r="C2606" s="12">
        <v>45659</v>
      </c>
      <c r="D2606" s="4">
        <v>0.41533952546296299</v>
      </c>
      <c r="E26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06" t="s">
        <v>3</v>
      </c>
      <c r="G2606" s="2">
        <v>30.86</v>
      </c>
    </row>
    <row r="2607" spans="1:7" x14ac:dyDescent="0.25">
      <c r="A26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250102-LUN001</v>
      </c>
      <c r="B2607" s="1" t="str">
        <f>TEXT(Coffee_sales_clean[[#This Row],[Transaction Date]],"dddd")</f>
        <v>Thursday</v>
      </c>
      <c r="C2607" s="12">
        <v>45659</v>
      </c>
      <c r="D2607" s="4">
        <v>0.56227000000000005</v>
      </c>
      <c r="E26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07" t="s">
        <v>4</v>
      </c>
      <c r="G2607" s="2">
        <v>35.76</v>
      </c>
    </row>
    <row r="2608" spans="1:7" x14ac:dyDescent="0.25">
      <c r="A26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250102-LUN002</v>
      </c>
      <c r="B2608" s="1" t="str">
        <f>TEXT(Coffee_sales_clean[[#This Row],[Transaction Date]],"dddd")</f>
        <v>Thursday</v>
      </c>
      <c r="C2608" s="12">
        <v>45659</v>
      </c>
      <c r="D2608" s="4">
        <v>0.5629481481481482</v>
      </c>
      <c r="E26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08" t="s">
        <v>4</v>
      </c>
      <c r="G2608" s="2">
        <v>35.76</v>
      </c>
    </row>
    <row r="2609" spans="1:7" x14ac:dyDescent="0.25">
      <c r="A26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250102-AFT001</v>
      </c>
      <c r="B2609" s="1" t="str">
        <f>TEXT(Coffee_sales_clean[[#This Row],[Transaction Date]],"dddd")</f>
        <v>Thursday</v>
      </c>
      <c r="C2609" s="12">
        <v>45659</v>
      </c>
      <c r="D2609" s="4">
        <v>0.61192817129629629</v>
      </c>
      <c r="E26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09" t="s">
        <v>5</v>
      </c>
      <c r="G2609" s="2">
        <v>25.96</v>
      </c>
    </row>
    <row r="2610" spans="1:7" x14ac:dyDescent="0.25">
      <c r="A26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250102-AFT002</v>
      </c>
      <c r="B2610" s="1" t="str">
        <f>TEXT(Coffee_sales_clean[[#This Row],[Transaction Date]],"dddd")</f>
        <v>Thursday</v>
      </c>
      <c r="C2610" s="12">
        <v>45659</v>
      </c>
      <c r="D2610" s="4">
        <v>0.61303063657407408</v>
      </c>
      <c r="E26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10" t="s">
        <v>5</v>
      </c>
      <c r="G2610" s="2">
        <v>25.96</v>
      </c>
    </row>
    <row r="2611" spans="1:7" x14ac:dyDescent="0.25">
      <c r="A26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250102-AFT003</v>
      </c>
      <c r="B2611" s="1" t="str">
        <f>TEXT(Coffee_sales_clean[[#This Row],[Transaction Date]],"dddd")</f>
        <v>Thursday</v>
      </c>
      <c r="C2611" s="12">
        <v>45659</v>
      </c>
      <c r="D2611" s="4">
        <v>0.6823192939814815</v>
      </c>
      <c r="E26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11" t="s">
        <v>2</v>
      </c>
      <c r="G2611" s="2">
        <v>25.96</v>
      </c>
    </row>
    <row r="2612" spans="1:7" x14ac:dyDescent="0.25">
      <c r="A26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250102-AFT004</v>
      </c>
      <c r="B2612" s="1" t="str">
        <f>TEXT(Coffee_sales_clean[[#This Row],[Transaction Date]],"dddd")</f>
        <v>Thursday</v>
      </c>
      <c r="C2612" s="12">
        <v>45659</v>
      </c>
      <c r="D2612" s="4">
        <v>0.69096608796296299</v>
      </c>
      <c r="E26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12" t="s">
        <v>1</v>
      </c>
      <c r="G2612" s="2">
        <v>35.76</v>
      </c>
    </row>
    <row r="2613" spans="1:7" x14ac:dyDescent="0.25">
      <c r="A26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250102-AFT005</v>
      </c>
      <c r="B2613" s="1" t="str">
        <f>TEXT(Coffee_sales_clean[[#This Row],[Transaction Date]],"dddd")</f>
        <v>Thursday</v>
      </c>
      <c r="C2613" s="12">
        <v>45659</v>
      </c>
      <c r="D2613" s="4">
        <v>0.69148478009259262</v>
      </c>
      <c r="E26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13" t="s">
        <v>3</v>
      </c>
      <c r="G2613" s="2">
        <v>30.86</v>
      </c>
    </row>
    <row r="2614" spans="1:7" x14ac:dyDescent="0.25">
      <c r="A26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250102-EVE001</v>
      </c>
      <c r="B2614" s="1" t="str">
        <f>TEXT(Coffee_sales_clean[[#This Row],[Transaction Date]],"dddd")</f>
        <v>Thursday</v>
      </c>
      <c r="C2614" s="12">
        <v>45659</v>
      </c>
      <c r="D2614" s="4">
        <v>0.73831221064814812</v>
      </c>
      <c r="E26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14" t="s">
        <v>7</v>
      </c>
      <c r="G2614" s="2">
        <v>35.76</v>
      </c>
    </row>
    <row r="2615" spans="1:7" x14ac:dyDescent="0.25">
      <c r="A26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250103-MOR001</v>
      </c>
      <c r="B2615" s="1" t="str">
        <f>TEXT(Coffee_sales_clean[[#This Row],[Transaction Date]],"dddd")</f>
        <v>Friday</v>
      </c>
      <c r="C2615" s="12">
        <v>45660</v>
      </c>
      <c r="D2615" s="4">
        <v>0.37734569444444443</v>
      </c>
      <c r="E26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15" t="s">
        <v>5</v>
      </c>
      <c r="G2615" s="2">
        <v>25.96</v>
      </c>
    </row>
    <row r="2616" spans="1:7" x14ac:dyDescent="0.25">
      <c r="A26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250103-MOR002</v>
      </c>
      <c r="B2616" s="1" t="str">
        <f>TEXT(Coffee_sales_clean[[#This Row],[Transaction Date]],"dddd")</f>
        <v>Friday</v>
      </c>
      <c r="C2616" s="12">
        <v>45660</v>
      </c>
      <c r="D2616" s="4">
        <v>0.42396761574074077</v>
      </c>
      <c r="E26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16" t="s">
        <v>3</v>
      </c>
      <c r="G2616" s="2">
        <v>30.86</v>
      </c>
    </row>
    <row r="2617" spans="1:7" x14ac:dyDescent="0.25">
      <c r="A26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250103-AFT001</v>
      </c>
      <c r="B2617" s="1" t="str">
        <f>TEXT(Coffee_sales_clean[[#This Row],[Transaction Date]],"dddd")</f>
        <v>Friday</v>
      </c>
      <c r="C2617" s="12">
        <v>45660</v>
      </c>
      <c r="D2617" s="4">
        <v>0.70705347222222226</v>
      </c>
      <c r="E26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17" t="s">
        <v>3</v>
      </c>
      <c r="G2617" s="2">
        <v>30.86</v>
      </c>
    </row>
    <row r="2618" spans="1:7" x14ac:dyDescent="0.25">
      <c r="A26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250103-LAT001</v>
      </c>
      <c r="B2618" s="1" t="str">
        <f>TEXT(Coffee_sales_clean[[#This Row],[Transaction Date]],"dddd")</f>
        <v>Friday</v>
      </c>
      <c r="C2618" s="12">
        <v>45660</v>
      </c>
      <c r="D2618" s="4">
        <v>0.92602499999999999</v>
      </c>
      <c r="E26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18" t="s">
        <v>7</v>
      </c>
      <c r="G2618" s="2">
        <v>35.76</v>
      </c>
    </row>
    <row r="2619" spans="1:7" x14ac:dyDescent="0.25">
      <c r="A26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250103-LAT002</v>
      </c>
      <c r="B2619" s="1" t="str">
        <f>TEXT(Coffee_sales_clean[[#This Row],[Transaction Date]],"dddd")</f>
        <v>Friday</v>
      </c>
      <c r="C2619" s="12">
        <v>45660</v>
      </c>
      <c r="D2619" s="4">
        <v>0.92940230324074069</v>
      </c>
      <c r="E26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19" t="s">
        <v>2</v>
      </c>
      <c r="G2619" s="2">
        <v>25.96</v>
      </c>
    </row>
    <row r="2620" spans="1:7" x14ac:dyDescent="0.25">
      <c r="A26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250103-LAT003</v>
      </c>
      <c r="B2620" s="1" t="str">
        <f>TEXT(Coffee_sales_clean[[#This Row],[Transaction Date]],"dddd")</f>
        <v>Friday</v>
      </c>
      <c r="C2620" s="12">
        <v>45660</v>
      </c>
      <c r="D2620" s="4">
        <v>0.9300272453703704</v>
      </c>
      <c r="E26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20" t="s">
        <v>2</v>
      </c>
      <c r="G2620" s="2">
        <v>25.96</v>
      </c>
    </row>
    <row r="2621" spans="1:7" x14ac:dyDescent="0.25">
      <c r="A26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250103-LAT004</v>
      </c>
      <c r="B2621" s="1" t="str">
        <f>TEXT(Coffee_sales_clean[[#This Row],[Transaction Date]],"dddd")</f>
        <v>Friday</v>
      </c>
      <c r="C2621" s="12">
        <v>45660</v>
      </c>
      <c r="D2621" s="4">
        <v>0.93155037037037036</v>
      </c>
      <c r="E26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21" t="s">
        <v>0</v>
      </c>
      <c r="G2621" s="2">
        <v>35.76</v>
      </c>
    </row>
    <row r="2622" spans="1:7" x14ac:dyDescent="0.25">
      <c r="A26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250104-MOR001</v>
      </c>
      <c r="B2622" s="1" t="str">
        <f>TEXT(Coffee_sales_clean[[#This Row],[Transaction Date]],"dddd")</f>
        <v>Saturday</v>
      </c>
      <c r="C2622" s="12">
        <v>45661</v>
      </c>
      <c r="D2622" s="4">
        <v>0.37391784722222221</v>
      </c>
      <c r="E26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22" t="s">
        <v>5</v>
      </c>
      <c r="G2622" s="2">
        <v>25.96</v>
      </c>
    </row>
    <row r="2623" spans="1:7" x14ac:dyDescent="0.25">
      <c r="A26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250104-MOR002</v>
      </c>
      <c r="B2623" s="1" t="str">
        <f>TEXT(Coffee_sales_clean[[#This Row],[Transaction Date]],"dddd")</f>
        <v>Saturday</v>
      </c>
      <c r="C2623" s="12">
        <v>45661</v>
      </c>
      <c r="D2623" s="4">
        <v>0.41629379629629631</v>
      </c>
      <c r="E26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23" t="s">
        <v>2</v>
      </c>
      <c r="G2623" s="2">
        <v>25.96</v>
      </c>
    </row>
    <row r="2624" spans="1:7" x14ac:dyDescent="0.25">
      <c r="A26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250104-LUN001</v>
      </c>
      <c r="B2624" s="1" t="str">
        <f>TEXT(Coffee_sales_clean[[#This Row],[Transaction Date]],"dddd")</f>
        <v>Saturday</v>
      </c>
      <c r="C2624" s="12">
        <v>45661</v>
      </c>
      <c r="D2624" s="4">
        <v>0.5694477546296296</v>
      </c>
      <c r="E26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24" t="s">
        <v>7</v>
      </c>
      <c r="G2624" s="2">
        <v>35.76</v>
      </c>
    </row>
    <row r="2625" spans="1:7" x14ac:dyDescent="0.25">
      <c r="A26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250104-AFT001</v>
      </c>
      <c r="B2625" s="1" t="str">
        <f>TEXT(Coffee_sales_clean[[#This Row],[Transaction Date]],"dddd")</f>
        <v>Saturday</v>
      </c>
      <c r="C2625" s="12">
        <v>45661</v>
      </c>
      <c r="D2625" s="4">
        <v>0.66635679398148151</v>
      </c>
      <c r="E26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25" t="s">
        <v>4</v>
      </c>
      <c r="G2625" s="2">
        <v>35.76</v>
      </c>
    </row>
    <row r="2626" spans="1:7" x14ac:dyDescent="0.25">
      <c r="A26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250104-AFT002</v>
      </c>
      <c r="B2626" s="1" t="str">
        <f>TEXT(Coffee_sales_clean[[#This Row],[Transaction Date]],"dddd")</f>
        <v>Saturday</v>
      </c>
      <c r="C2626" s="12">
        <v>45661</v>
      </c>
      <c r="D2626" s="4">
        <v>0.6756388888888889</v>
      </c>
      <c r="E26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26" t="s">
        <v>3</v>
      </c>
      <c r="G2626" s="2">
        <v>30.86</v>
      </c>
    </row>
    <row r="2627" spans="1:7" x14ac:dyDescent="0.25">
      <c r="A26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250104-AFT003</v>
      </c>
      <c r="B2627" s="1" t="str">
        <f>TEXT(Coffee_sales_clean[[#This Row],[Transaction Date]],"dddd")</f>
        <v>Saturday</v>
      </c>
      <c r="C2627" s="12">
        <v>45661</v>
      </c>
      <c r="D2627" s="4">
        <v>0.6765069212962963</v>
      </c>
      <c r="E26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27" t="s">
        <v>7</v>
      </c>
      <c r="G2627" s="2">
        <v>35.76</v>
      </c>
    </row>
    <row r="2628" spans="1:7" x14ac:dyDescent="0.25">
      <c r="A26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250104-AFT004</v>
      </c>
      <c r="B2628" s="1" t="str">
        <f>TEXT(Coffee_sales_clean[[#This Row],[Transaction Date]],"dddd")</f>
        <v>Saturday</v>
      </c>
      <c r="C2628" s="12">
        <v>45661</v>
      </c>
      <c r="D2628" s="4">
        <v>0.67790769675925922</v>
      </c>
      <c r="E26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28" t="s">
        <v>7</v>
      </c>
      <c r="G2628" s="2">
        <v>35.76</v>
      </c>
    </row>
    <row r="2629" spans="1:7" x14ac:dyDescent="0.25">
      <c r="A26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250104-AFT005</v>
      </c>
      <c r="B2629" s="1" t="str">
        <f>TEXT(Coffee_sales_clean[[#This Row],[Transaction Date]],"dddd")</f>
        <v>Saturday</v>
      </c>
      <c r="C2629" s="12">
        <v>45661</v>
      </c>
      <c r="D2629" s="4">
        <v>0.67921387731481486</v>
      </c>
      <c r="E26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29" t="s">
        <v>5</v>
      </c>
      <c r="G2629" s="2">
        <v>25.96</v>
      </c>
    </row>
    <row r="2630" spans="1:7" x14ac:dyDescent="0.25">
      <c r="A26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250104-EVE001</v>
      </c>
      <c r="B2630" s="1" t="str">
        <f>TEXT(Coffee_sales_clean[[#This Row],[Transaction Date]],"dddd")</f>
        <v>Saturday</v>
      </c>
      <c r="C2630" s="12">
        <v>45661</v>
      </c>
      <c r="D2630" s="4">
        <v>0.75809326388888887</v>
      </c>
      <c r="E26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30" t="s">
        <v>2</v>
      </c>
      <c r="G2630" s="2">
        <v>25.96</v>
      </c>
    </row>
    <row r="2631" spans="1:7" x14ac:dyDescent="0.25">
      <c r="A26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250104-LAT001</v>
      </c>
      <c r="B2631" s="1" t="str">
        <f>TEXT(Coffee_sales_clean[[#This Row],[Transaction Date]],"dddd")</f>
        <v>Saturday</v>
      </c>
      <c r="C2631" s="12">
        <v>45661</v>
      </c>
      <c r="D2631" s="4">
        <v>0.93299444444444446</v>
      </c>
      <c r="E26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31" t="s">
        <v>0</v>
      </c>
      <c r="G2631" s="2">
        <v>35.76</v>
      </c>
    </row>
    <row r="2632" spans="1:7" x14ac:dyDescent="0.25">
      <c r="A26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250105-MOR001</v>
      </c>
      <c r="B2632" s="1" t="str">
        <f>TEXT(Coffee_sales_clean[[#This Row],[Transaction Date]],"dddd")</f>
        <v>Sunday</v>
      </c>
      <c r="C2632" s="12">
        <v>45662</v>
      </c>
      <c r="D2632" s="4">
        <v>0.40691872685185188</v>
      </c>
      <c r="E26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32" t="s">
        <v>3</v>
      </c>
      <c r="G2632" s="2">
        <v>30.86</v>
      </c>
    </row>
    <row r="2633" spans="1:7" x14ac:dyDescent="0.25">
      <c r="A26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250105-MOR002</v>
      </c>
      <c r="B2633" s="1" t="str">
        <f>TEXT(Coffee_sales_clean[[#This Row],[Transaction Date]],"dddd")</f>
        <v>Sunday</v>
      </c>
      <c r="C2633" s="12">
        <v>45662</v>
      </c>
      <c r="D2633" s="4">
        <v>0.45348196759259257</v>
      </c>
      <c r="E26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33" t="s">
        <v>0</v>
      </c>
      <c r="G2633" s="2">
        <v>35.76</v>
      </c>
    </row>
    <row r="2634" spans="1:7" x14ac:dyDescent="0.25">
      <c r="A26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250105-LAT001</v>
      </c>
      <c r="B2634" s="1" t="str">
        <f>TEXT(Coffee_sales_clean[[#This Row],[Transaction Date]],"dddd")</f>
        <v>Sunday</v>
      </c>
      <c r="C2634" s="12">
        <v>45662</v>
      </c>
      <c r="D2634" s="4">
        <v>0.92171846064814811</v>
      </c>
      <c r="E26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34" t="s">
        <v>3</v>
      </c>
      <c r="G2634" s="2">
        <v>30.86</v>
      </c>
    </row>
    <row r="2635" spans="1:7" x14ac:dyDescent="0.25">
      <c r="A26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250106-EVE001</v>
      </c>
      <c r="B2635" s="1" t="str">
        <f>TEXT(Coffee_sales_clean[[#This Row],[Transaction Date]],"dddd")</f>
        <v>Monday</v>
      </c>
      <c r="C2635" s="12">
        <v>45663</v>
      </c>
      <c r="D2635" s="4">
        <v>0.83253111111111111</v>
      </c>
      <c r="E26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35" t="s">
        <v>2</v>
      </c>
      <c r="G2635" s="2">
        <v>25.96</v>
      </c>
    </row>
    <row r="2636" spans="1:7" x14ac:dyDescent="0.25">
      <c r="A26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250107-LUN001</v>
      </c>
      <c r="B2636" s="1" t="str">
        <f>TEXT(Coffee_sales_clean[[#This Row],[Transaction Date]],"dddd")</f>
        <v>Tuesday</v>
      </c>
      <c r="C2636" s="12">
        <v>45664</v>
      </c>
      <c r="D2636" s="4">
        <v>0.56183783564814815</v>
      </c>
      <c r="E26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36" t="s">
        <v>7</v>
      </c>
      <c r="G2636" s="2">
        <v>35.76</v>
      </c>
    </row>
    <row r="2637" spans="1:7" x14ac:dyDescent="0.25">
      <c r="A26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250107-LAT001</v>
      </c>
      <c r="B2637" s="1" t="str">
        <f>TEXT(Coffee_sales_clean[[#This Row],[Transaction Date]],"dddd")</f>
        <v>Tuesday</v>
      </c>
      <c r="C2637" s="12">
        <v>45664</v>
      </c>
      <c r="D2637" s="4">
        <v>0.9394107060185185</v>
      </c>
      <c r="E26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37" t="s">
        <v>4</v>
      </c>
      <c r="G2637" s="2">
        <v>35.76</v>
      </c>
    </row>
    <row r="2638" spans="1:7" x14ac:dyDescent="0.25">
      <c r="A26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250107-LAT002</v>
      </c>
      <c r="B2638" s="1" t="str">
        <f>TEXT(Coffee_sales_clean[[#This Row],[Transaction Date]],"dddd")</f>
        <v>Tuesday</v>
      </c>
      <c r="C2638" s="12">
        <v>45664</v>
      </c>
      <c r="D2638" s="4">
        <v>0.94026488425925925</v>
      </c>
      <c r="E26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38" t="s">
        <v>4</v>
      </c>
      <c r="G2638" s="2">
        <v>35.76</v>
      </c>
    </row>
    <row r="2639" spans="1:7" x14ac:dyDescent="0.25">
      <c r="A26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250108-MOR001</v>
      </c>
      <c r="B2639" s="1" t="str">
        <f>TEXT(Coffee_sales_clean[[#This Row],[Transaction Date]],"dddd")</f>
        <v>Wednesday</v>
      </c>
      <c r="C2639" s="12">
        <v>45665</v>
      </c>
      <c r="D2639" s="4">
        <v>0.31252336805555553</v>
      </c>
      <c r="E26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39" t="s">
        <v>3</v>
      </c>
      <c r="G2639" s="2">
        <v>30.86</v>
      </c>
    </row>
    <row r="2640" spans="1:7" x14ac:dyDescent="0.25">
      <c r="A26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250108-MOR002</v>
      </c>
      <c r="B2640" s="1" t="str">
        <f>TEXT(Coffee_sales_clean[[#This Row],[Transaction Date]],"dddd")</f>
        <v>Wednesday</v>
      </c>
      <c r="C2640" s="12">
        <v>45665</v>
      </c>
      <c r="D2640" s="4">
        <v>0.3828141435185185</v>
      </c>
      <c r="E26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40" t="s">
        <v>0</v>
      </c>
      <c r="G2640" s="2">
        <v>35.76</v>
      </c>
    </row>
    <row r="2641" spans="1:7" x14ac:dyDescent="0.25">
      <c r="A26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250108-MOR003</v>
      </c>
      <c r="B2641" s="1" t="str">
        <f>TEXT(Coffee_sales_clean[[#This Row],[Transaction Date]],"dddd")</f>
        <v>Wednesday</v>
      </c>
      <c r="C2641" s="12">
        <v>45665</v>
      </c>
      <c r="D2641" s="4">
        <v>0.4378325578703704</v>
      </c>
      <c r="E26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41" t="s">
        <v>5</v>
      </c>
      <c r="G2641" s="2">
        <v>25.96</v>
      </c>
    </row>
    <row r="2642" spans="1:7" x14ac:dyDescent="0.25">
      <c r="A26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250108-EVE001</v>
      </c>
      <c r="B2642" s="1" t="str">
        <f>TEXT(Coffee_sales_clean[[#This Row],[Transaction Date]],"dddd")</f>
        <v>Wednesday</v>
      </c>
      <c r="C2642" s="12">
        <v>45665</v>
      </c>
      <c r="D2642" s="4">
        <v>0.72420839120370373</v>
      </c>
      <c r="E26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42" t="s">
        <v>7</v>
      </c>
      <c r="G2642" s="2">
        <v>35.76</v>
      </c>
    </row>
    <row r="2643" spans="1:7" x14ac:dyDescent="0.25">
      <c r="A26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250109-MOR001</v>
      </c>
      <c r="B2643" s="1" t="str">
        <f>TEXT(Coffee_sales_clean[[#This Row],[Transaction Date]],"dddd")</f>
        <v>Thursday</v>
      </c>
      <c r="C2643" s="12">
        <v>45666</v>
      </c>
      <c r="D2643" s="4">
        <v>0.33828222222222221</v>
      </c>
      <c r="E26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43" t="s">
        <v>2</v>
      </c>
      <c r="G2643" s="2">
        <v>25.96</v>
      </c>
    </row>
    <row r="2644" spans="1:7" x14ac:dyDescent="0.25">
      <c r="A26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250109-MOR002</v>
      </c>
      <c r="B2644" s="1" t="str">
        <f>TEXT(Coffee_sales_clean[[#This Row],[Transaction Date]],"dddd")</f>
        <v>Thursday</v>
      </c>
      <c r="C2644" s="12">
        <v>45666</v>
      </c>
      <c r="D2644" s="4">
        <v>0.37262424768518521</v>
      </c>
      <c r="E26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44" t="s">
        <v>0</v>
      </c>
      <c r="G2644" s="2">
        <v>35.76</v>
      </c>
    </row>
    <row r="2645" spans="1:7" x14ac:dyDescent="0.25">
      <c r="A26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250109-MOR003</v>
      </c>
      <c r="B2645" s="1" t="str">
        <f>TEXT(Coffee_sales_clean[[#This Row],[Transaction Date]],"dddd")</f>
        <v>Thursday</v>
      </c>
      <c r="C2645" s="12">
        <v>45666</v>
      </c>
      <c r="D2645" s="4">
        <v>0.37675674768518519</v>
      </c>
      <c r="E26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45" t="s">
        <v>3</v>
      </c>
      <c r="G2645" s="2">
        <v>30.86</v>
      </c>
    </row>
    <row r="2646" spans="1:7" x14ac:dyDescent="0.25">
      <c r="A26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250109-AFT001</v>
      </c>
      <c r="B2646" s="1" t="str">
        <f>TEXT(Coffee_sales_clean[[#This Row],[Transaction Date]],"dddd")</f>
        <v>Thursday</v>
      </c>
      <c r="C2646" s="12">
        <v>45666</v>
      </c>
      <c r="D2646" s="4">
        <v>0.60235743055555557</v>
      </c>
      <c r="E26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46" t="s">
        <v>6</v>
      </c>
      <c r="G2646" s="2">
        <v>21.06</v>
      </c>
    </row>
    <row r="2647" spans="1:7" x14ac:dyDescent="0.25">
      <c r="A26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250109-AFT002</v>
      </c>
      <c r="B2647" s="1" t="str">
        <f>TEXT(Coffee_sales_clean[[#This Row],[Transaction Date]],"dddd")</f>
        <v>Thursday</v>
      </c>
      <c r="C2647" s="12">
        <v>45666</v>
      </c>
      <c r="D2647" s="4">
        <v>0.65067915509259255</v>
      </c>
      <c r="E26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47" t="s">
        <v>0</v>
      </c>
      <c r="G2647" s="2">
        <v>35.76</v>
      </c>
    </row>
    <row r="2648" spans="1:7" x14ac:dyDescent="0.25">
      <c r="A26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250109-AFT003</v>
      </c>
      <c r="B2648" s="1" t="str">
        <f>TEXT(Coffee_sales_clean[[#This Row],[Transaction Date]],"dddd")</f>
        <v>Thursday</v>
      </c>
      <c r="C2648" s="12">
        <v>45666</v>
      </c>
      <c r="D2648" s="4">
        <v>0.65844921296296299</v>
      </c>
      <c r="E26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48" t="s">
        <v>3</v>
      </c>
      <c r="G2648" s="2">
        <v>30.86</v>
      </c>
    </row>
    <row r="2649" spans="1:7" x14ac:dyDescent="0.25">
      <c r="A26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250109-AFT004</v>
      </c>
      <c r="B2649" s="1" t="str">
        <f>TEXT(Coffee_sales_clean[[#This Row],[Transaction Date]],"dddd")</f>
        <v>Thursday</v>
      </c>
      <c r="C2649" s="12">
        <v>45666</v>
      </c>
      <c r="D2649" s="4">
        <v>0.65916430555555561</v>
      </c>
      <c r="E26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49" t="s">
        <v>5</v>
      </c>
      <c r="G2649" s="2">
        <v>25.96</v>
      </c>
    </row>
    <row r="2650" spans="1:7" x14ac:dyDescent="0.25">
      <c r="A26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250109-LAT001</v>
      </c>
      <c r="B2650" s="1" t="str">
        <f>TEXT(Coffee_sales_clean[[#This Row],[Transaction Date]],"dddd")</f>
        <v>Thursday</v>
      </c>
      <c r="C2650" s="12">
        <v>45666</v>
      </c>
      <c r="D2650" s="4">
        <v>0.8545031481481481</v>
      </c>
      <c r="E26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50" t="s">
        <v>3</v>
      </c>
      <c r="G2650" s="2">
        <v>30.86</v>
      </c>
    </row>
    <row r="2651" spans="1:7" x14ac:dyDescent="0.25">
      <c r="A26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250109-LAT002</v>
      </c>
      <c r="B2651" s="1" t="str">
        <f>TEXT(Coffee_sales_clean[[#This Row],[Transaction Date]],"dddd")</f>
        <v>Thursday</v>
      </c>
      <c r="C2651" s="12">
        <v>45666</v>
      </c>
      <c r="D2651" s="4">
        <v>0.92385065972222224</v>
      </c>
      <c r="E26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51" t="s">
        <v>0</v>
      </c>
      <c r="G2651" s="2">
        <v>35.76</v>
      </c>
    </row>
    <row r="2652" spans="1:7" x14ac:dyDescent="0.25">
      <c r="A26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250110-MOR001</v>
      </c>
      <c r="B2652" s="1" t="str">
        <f>TEXT(Coffee_sales_clean[[#This Row],[Transaction Date]],"dddd")</f>
        <v>Friday</v>
      </c>
      <c r="C2652" s="12">
        <v>45667</v>
      </c>
      <c r="D2652" s="4">
        <v>0.36760202546296294</v>
      </c>
      <c r="E26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52" t="s">
        <v>3</v>
      </c>
      <c r="G2652" s="2">
        <v>30.86</v>
      </c>
    </row>
    <row r="2653" spans="1:7" x14ac:dyDescent="0.25">
      <c r="A26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250110-MOR002</v>
      </c>
      <c r="B2653" s="1" t="str">
        <f>TEXT(Coffee_sales_clean[[#This Row],[Transaction Date]],"dddd")</f>
        <v>Friday</v>
      </c>
      <c r="C2653" s="12">
        <v>45667</v>
      </c>
      <c r="D2653" s="4">
        <v>0.38653354166666665</v>
      </c>
      <c r="E26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53" t="s">
        <v>3</v>
      </c>
      <c r="G2653" s="2">
        <v>30.86</v>
      </c>
    </row>
    <row r="2654" spans="1:7" x14ac:dyDescent="0.25">
      <c r="A26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250110-EVE001</v>
      </c>
      <c r="B2654" s="1" t="str">
        <f>TEXT(Coffee_sales_clean[[#This Row],[Transaction Date]],"dddd")</f>
        <v>Friday</v>
      </c>
      <c r="C2654" s="12">
        <v>45667</v>
      </c>
      <c r="D2654" s="4">
        <v>0.74396725694444443</v>
      </c>
      <c r="E26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54" t="s">
        <v>7</v>
      </c>
      <c r="G2654" s="2">
        <v>35.76</v>
      </c>
    </row>
    <row r="2655" spans="1:7" x14ac:dyDescent="0.25">
      <c r="A26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250110-EVE002</v>
      </c>
      <c r="B2655" s="1" t="str">
        <f>TEXT(Coffee_sales_clean[[#This Row],[Transaction Date]],"dddd")</f>
        <v>Friday</v>
      </c>
      <c r="C2655" s="12">
        <v>45667</v>
      </c>
      <c r="D2655" s="4">
        <v>0.74714533564814811</v>
      </c>
      <c r="E26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55" t="s">
        <v>1</v>
      </c>
      <c r="G2655" s="2">
        <v>35.76</v>
      </c>
    </row>
    <row r="2656" spans="1:7" x14ac:dyDescent="0.25">
      <c r="A26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250110-EVE003</v>
      </c>
      <c r="B2656" s="1" t="str">
        <f>TEXT(Coffee_sales_clean[[#This Row],[Transaction Date]],"dddd")</f>
        <v>Friday</v>
      </c>
      <c r="C2656" s="12">
        <v>45667</v>
      </c>
      <c r="D2656" s="4">
        <v>0.74975907407407405</v>
      </c>
      <c r="E26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56" t="s">
        <v>3</v>
      </c>
      <c r="G2656" s="2">
        <v>30.86</v>
      </c>
    </row>
    <row r="2657" spans="1:7" x14ac:dyDescent="0.25">
      <c r="A26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250111-MOR001</v>
      </c>
      <c r="B2657" s="1" t="str">
        <f>TEXT(Coffee_sales_clean[[#This Row],[Transaction Date]],"dddd")</f>
        <v>Saturday</v>
      </c>
      <c r="C2657" s="12">
        <v>45668</v>
      </c>
      <c r="D2657" s="4">
        <v>0.3225746527777778</v>
      </c>
      <c r="E26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57" t="s">
        <v>3</v>
      </c>
      <c r="G2657" s="2">
        <v>30.86</v>
      </c>
    </row>
    <row r="2658" spans="1:7" x14ac:dyDescent="0.25">
      <c r="A26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250111-MOR002</v>
      </c>
      <c r="B2658" s="1" t="str">
        <f>TEXT(Coffee_sales_clean[[#This Row],[Transaction Date]],"dddd")</f>
        <v>Saturday</v>
      </c>
      <c r="C2658" s="12">
        <v>45668</v>
      </c>
      <c r="D2658" s="4">
        <v>0.45117234953703705</v>
      </c>
      <c r="E26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58" t="s">
        <v>1</v>
      </c>
      <c r="G2658" s="2">
        <v>35.76</v>
      </c>
    </row>
    <row r="2659" spans="1:7" x14ac:dyDescent="0.25">
      <c r="A26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250111-LUN001</v>
      </c>
      <c r="B2659" s="1" t="str">
        <f>TEXT(Coffee_sales_clean[[#This Row],[Transaction Date]],"dddd")</f>
        <v>Saturday</v>
      </c>
      <c r="C2659" s="12">
        <v>45668</v>
      </c>
      <c r="D2659" s="4">
        <v>0.46798456018518519</v>
      </c>
      <c r="E26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59" t="s">
        <v>2</v>
      </c>
      <c r="G2659" s="2">
        <v>25.96</v>
      </c>
    </row>
    <row r="2660" spans="1:7" x14ac:dyDescent="0.25">
      <c r="A26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250111-LUN002</v>
      </c>
      <c r="B2660" s="1" t="str">
        <f>TEXT(Coffee_sales_clean[[#This Row],[Transaction Date]],"dddd")</f>
        <v>Saturday</v>
      </c>
      <c r="C2660" s="12">
        <v>45668</v>
      </c>
      <c r="D2660" s="4">
        <v>0.47242606481481481</v>
      </c>
      <c r="E26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60" t="s">
        <v>0</v>
      </c>
      <c r="G2660" s="2">
        <v>35.76</v>
      </c>
    </row>
    <row r="2661" spans="1:7" x14ac:dyDescent="0.25">
      <c r="A26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250111-LUN003</v>
      </c>
      <c r="B2661" s="1" t="str">
        <f>TEXT(Coffee_sales_clean[[#This Row],[Transaction Date]],"dddd")</f>
        <v>Saturday</v>
      </c>
      <c r="C2661" s="12">
        <v>45668</v>
      </c>
      <c r="D2661" s="4">
        <v>0.47321256944444445</v>
      </c>
      <c r="E26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61" t="s">
        <v>0</v>
      </c>
      <c r="G2661" s="2">
        <v>35.76</v>
      </c>
    </row>
    <row r="2662" spans="1:7" x14ac:dyDescent="0.25">
      <c r="A26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250111-LUN004</v>
      </c>
      <c r="B2662" s="1" t="str">
        <f>TEXT(Coffee_sales_clean[[#This Row],[Transaction Date]],"dddd")</f>
        <v>Saturday</v>
      </c>
      <c r="C2662" s="12">
        <v>45668</v>
      </c>
      <c r="D2662" s="4">
        <v>0.50762429398148146</v>
      </c>
      <c r="E26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62" t="s">
        <v>0</v>
      </c>
      <c r="G2662" s="2">
        <v>35.76</v>
      </c>
    </row>
    <row r="2663" spans="1:7" x14ac:dyDescent="0.25">
      <c r="A26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250111-LUN005</v>
      </c>
      <c r="B2663" s="1" t="str">
        <f>TEXT(Coffee_sales_clean[[#This Row],[Transaction Date]],"dddd")</f>
        <v>Saturday</v>
      </c>
      <c r="C2663" s="12">
        <v>45668</v>
      </c>
      <c r="D2663" s="4">
        <v>0.50931462962962959</v>
      </c>
      <c r="E26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63" t="s">
        <v>0</v>
      </c>
      <c r="G2663" s="2">
        <v>35.76</v>
      </c>
    </row>
    <row r="2664" spans="1:7" x14ac:dyDescent="0.25">
      <c r="A26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250111-AFT001</v>
      </c>
      <c r="B2664" s="1" t="str">
        <f>TEXT(Coffee_sales_clean[[#This Row],[Transaction Date]],"dddd")</f>
        <v>Saturday</v>
      </c>
      <c r="C2664" s="12">
        <v>45668</v>
      </c>
      <c r="D2664" s="4">
        <v>0.59230143518518519</v>
      </c>
      <c r="E26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64" t="s">
        <v>3</v>
      </c>
      <c r="G2664" s="2">
        <v>30.86</v>
      </c>
    </row>
    <row r="2665" spans="1:7" x14ac:dyDescent="0.25">
      <c r="A26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250111-AFT002</v>
      </c>
      <c r="B2665" s="1" t="str">
        <f>TEXT(Coffee_sales_clean[[#This Row],[Transaction Date]],"dddd")</f>
        <v>Saturday</v>
      </c>
      <c r="C2665" s="12">
        <v>45668</v>
      </c>
      <c r="D2665" s="4">
        <v>0.5941914236111111</v>
      </c>
      <c r="E26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65" t="s">
        <v>3</v>
      </c>
      <c r="G2665" s="2">
        <v>30.86</v>
      </c>
    </row>
    <row r="2666" spans="1:7" x14ac:dyDescent="0.25">
      <c r="A26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250111-AFT003</v>
      </c>
      <c r="B2666" s="1" t="str">
        <f>TEXT(Coffee_sales_clean[[#This Row],[Transaction Date]],"dddd")</f>
        <v>Saturday</v>
      </c>
      <c r="C2666" s="12">
        <v>45668</v>
      </c>
      <c r="D2666" s="4">
        <v>0.59495302083333335</v>
      </c>
      <c r="E26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66" t="s">
        <v>7</v>
      </c>
      <c r="G2666" s="2">
        <v>35.76</v>
      </c>
    </row>
    <row r="2667" spans="1:7" x14ac:dyDescent="0.25">
      <c r="A26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250111-AFT004</v>
      </c>
      <c r="B2667" s="1" t="str">
        <f>TEXT(Coffee_sales_clean[[#This Row],[Transaction Date]],"dddd")</f>
        <v>Saturday</v>
      </c>
      <c r="C2667" s="12">
        <v>45668</v>
      </c>
      <c r="D2667" s="4">
        <v>0.61600662037037035</v>
      </c>
      <c r="E26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67" t="s">
        <v>0</v>
      </c>
      <c r="G2667" s="2">
        <v>35.76</v>
      </c>
    </row>
    <row r="2668" spans="1:7" x14ac:dyDescent="0.25">
      <c r="A26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250111-EVE001</v>
      </c>
      <c r="B2668" s="1" t="str">
        <f>TEXT(Coffee_sales_clean[[#This Row],[Transaction Date]],"dddd")</f>
        <v>Saturday</v>
      </c>
      <c r="C2668" s="12">
        <v>45668</v>
      </c>
      <c r="D2668" s="4">
        <v>0.72192092592592594</v>
      </c>
      <c r="E26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68" t="s">
        <v>5</v>
      </c>
      <c r="G2668" s="2">
        <v>25.96</v>
      </c>
    </row>
    <row r="2669" spans="1:7" x14ac:dyDescent="0.25">
      <c r="A26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250111-EVE002</v>
      </c>
      <c r="B2669" s="1" t="str">
        <f>TEXT(Coffee_sales_clean[[#This Row],[Transaction Date]],"dddd")</f>
        <v>Saturday</v>
      </c>
      <c r="C2669" s="12">
        <v>45668</v>
      </c>
      <c r="D2669" s="4">
        <v>0.72287939814814817</v>
      </c>
      <c r="E26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69" t="s">
        <v>0</v>
      </c>
      <c r="G2669" s="2">
        <v>35.76</v>
      </c>
    </row>
    <row r="2670" spans="1:7" x14ac:dyDescent="0.25">
      <c r="A26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250111-EVE003</v>
      </c>
      <c r="B2670" s="1" t="str">
        <f>TEXT(Coffee_sales_clean[[#This Row],[Transaction Date]],"dddd")</f>
        <v>Saturday</v>
      </c>
      <c r="C2670" s="12">
        <v>45668</v>
      </c>
      <c r="D2670" s="4">
        <v>0.72367019675925925</v>
      </c>
      <c r="E26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70" t="s">
        <v>5</v>
      </c>
      <c r="G2670" s="2">
        <v>25.96</v>
      </c>
    </row>
    <row r="2671" spans="1:7" x14ac:dyDescent="0.25">
      <c r="A26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250111-EVE004</v>
      </c>
      <c r="B2671" s="1" t="str">
        <f>TEXT(Coffee_sales_clean[[#This Row],[Transaction Date]],"dddd")</f>
        <v>Saturday</v>
      </c>
      <c r="C2671" s="12">
        <v>45668</v>
      </c>
      <c r="D2671" s="4">
        <v>0.75102406249999998</v>
      </c>
      <c r="E26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71" t="s">
        <v>3</v>
      </c>
      <c r="G2671" s="2">
        <v>30.86</v>
      </c>
    </row>
    <row r="2672" spans="1:7" x14ac:dyDescent="0.25">
      <c r="A26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250112-LUN001</v>
      </c>
      <c r="B2672" s="1" t="str">
        <f>TEXT(Coffee_sales_clean[[#This Row],[Transaction Date]],"dddd")</f>
        <v>Sunday</v>
      </c>
      <c r="C2672" s="12">
        <v>45669</v>
      </c>
      <c r="D2672" s="4">
        <v>0.48995871527777779</v>
      </c>
      <c r="E26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72" t="s">
        <v>3</v>
      </c>
      <c r="G2672" s="2">
        <v>30.86</v>
      </c>
    </row>
    <row r="2673" spans="1:7" x14ac:dyDescent="0.25">
      <c r="A26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250112-LUN002</v>
      </c>
      <c r="B2673" s="1" t="str">
        <f>TEXT(Coffee_sales_clean[[#This Row],[Transaction Date]],"dddd")</f>
        <v>Sunday</v>
      </c>
      <c r="C2673" s="12">
        <v>45669</v>
      </c>
      <c r="D2673" s="4">
        <v>0.49188343750000002</v>
      </c>
      <c r="E26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73" t="s">
        <v>2</v>
      </c>
      <c r="G2673" s="2">
        <v>25.96</v>
      </c>
    </row>
    <row r="2674" spans="1:7" x14ac:dyDescent="0.25">
      <c r="A26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250112-LUN003</v>
      </c>
      <c r="B2674" s="1" t="str">
        <f>TEXT(Coffee_sales_clean[[#This Row],[Transaction Date]],"dddd")</f>
        <v>Sunday</v>
      </c>
      <c r="C2674" s="12">
        <v>45669</v>
      </c>
      <c r="D2674" s="4">
        <v>0.49294334490740743</v>
      </c>
      <c r="E26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74" t="s">
        <v>3</v>
      </c>
      <c r="G2674" s="2">
        <v>30.86</v>
      </c>
    </row>
    <row r="2675" spans="1:7" x14ac:dyDescent="0.25">
      <c r="A26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250112-AFT001</v>
      </c>
      <c r="B2675" s="1" t="str">
        <f>TEXT(Coffee_sales_clean[[#This Row],[Transaction Date]],"dddd")</f>
        <v>Sunday</v>
      </c>
      <c r="C2675" s="12">
        <v>45669</v>
      </c>
      <c r="D2675" s="4">
        <v>0.67776438657407412</v>
      </c>
      <c r="E26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75" t="s">
        <v>1</v>
      </c>
      <c r="G2675" s="2">
        <v>35.76</v>
      </c>
    </row>
    <row r="2676" spans="1:7" x14ac:dyDescent="0.25">
      <c r="A26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250112-LAT001</v>
      </c>
      <c r="B2676" s="1" t="str">
        <f>TEXT(Coffee_sales_clean[[#This Row],[Transaction Date]],"dddd")</f>
        <v>Sunday</v>
      </c>
      <c r="C2676" s="12">
        <v>45669</v>
      </c>
      <c r="D2676" s="4">
        <v>0.87227226851851847</v>
      </c>
      <c r="E26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76" t="s">
        <v>3</v>
      </c>
      <c r="G2676" s="2">
        <v>30.86</v>
      </c>
    </row>
    <row r="2677" spans="1:7" x14ac:dyDescent="0.25">
      <c r="A26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250113-MOR001</v>
      </c>
      <c r="B2677" s="1" t="str">
        <f>TEXT(Coffee_sales_clean[[#This Row],[Transaction Date]],"dddd")</f>
        <v>Monday</v>
      </c>
      <c r="C2677" s="12">
        <v>45670</v>
      </c>
      <c r="D2677" s="4">
        <v>0.33912353009259261</v>
      </c>
      <c r="E26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77" t="s">
        <v>3</v>
      </c>
      <c r="G2677" s="2">
        <v>30.86</v>
      </c>
    </row>
    <row r="2678" spans="1:7" x14ac:dyDescent="0.25">
      <c r="A26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250113-MOR002</v>
      </c>
      <c r="B2678" s="1" t="str">
        <f>TEXT(Coffee_sales_clean[[#This Row],[Transaction Date]],"dddd")</f>
        <v>Monday</v>
      </c>
      <c r="C2678" s="12">
        <v>45670</v>
      </c>
      <c r="D2678" s="4">
        <v>0.3870326736111111</v>
      </c>
      <c r="E26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78" t="s">
        <v>3</v>
      </c>
      <c r="G2678" s="2">
        <v>30.86</v>
      </c>
    </row>
    <row r="2679" spans="1:7" x14ac:dyDescent="0.25">
      <c r="A26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250113-LUN001</v>
      </c>
      <c r="B2679" s="1" t="str">
        <f>TEXT(Coffee_sales_clean[[#This Row],[Transaction Date]],"dddd")</f>
        <v>Monday</v>
      </c>
      <c r="C2679" s="12">
        <v>45670</v>
      </c>
      <c r="D2679" s="4">
        <v>0.54371116898148153</v>
      </c>
      <c r="E26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79" t="s">
        <v>5</v>
      </c>
      <c r="G2679" s="2">
        <v>25.96</v>
      </c>
    </row>
    <row r="2680" spans="1:7" x14ac:dyDescent="0.25">
      <c r="A26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250113-LUN002</v>
      </c>
      <c r="B2680" s="1" t="str">
        <f>TEXT(Coffee_sales_clean[[#This Row],[Transaction Date]],"dddd")</f>
        <v>Monday</v>
      </c>
      <c r="C2680" s="12">
        <v>45670</v>
      </c>
      <c r="D2680" s="4">
        <v>0.57692879629629634</v>
      </c>
      <c r="E26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80" t="s">
        <v>0</v>
      </c>
      <c r="G2680" s="2">
        <v>35.76</v>
      </c>
    </row>
    <row r="2681" spans="1:7" x14ac:dyDescent="0.25">
      <c r="A26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250113-AFT001</v>
      </c>
      <c r="B2681" s="1" t="str">
        <f>TEXT(Coffee_sales_clean[[#This Row],[Transaction Date]],"dddd")</f>
        <v>Monday</v>
      </c>
      <c r="C2681" s="12">
        <v>45670</v>
      </c>
      <c r="D2681" s="4">
        <v>0.59128857638888888</v>
      </c>
      <c r="E26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81" t="s">
        <v>0</v>
      </c>
      <c r="G2681" s="2">
        <v>35.76</v>
      </c>
    </row>
    <row r="2682" spans="1:7" x14ac:dyDescent="0.25">
      <c r="A26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250113-AFT002</v>
      </c>
      <c r="B2682" s="1" t="str">
        <f>TEXT(Coffee_sales_clean[[#This Row],[Transaction Date]],"dddd")</f>
        <v>Monday</v>
      </c>
      <c r="C2682" s="12">
        <v>45670</v>
      </c>
      <c r="D2682" s="4">
        <v>0.59199467592592592</v>
      </c>
      <c r="E26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82" t="s">
        <v>7</v>
      </c>
      <c r="G2682" s="2">
        <v>35.76</v>
      </c>
    </row>
    <row r="2683" spans="1:7" x14ac:dyDescent="0.25">
      <c r="A26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250113-AFT003</v>
      </c>
      <c r="B2683" s="1" t="str">
        <f>TEXT(Coffee_sales_clean[[#This Row],[Transaction Date]],"dddd")</f>
        <v>Monday</v>
      </c>
      <c r="C2683" s="12">
        <v>45670</v>
      </c>
      <c r="D2683" s="4">
        <v>0.68444841435185189</v>
      </c>
      <c r="E26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83" t="s">
        <v>0</v>
      </c>
      <c r="G2683" s="2">
        <v>35.76</v>
      </c>
    </row>
    <row r="2684" spans="1:7" x14ac:dyDescent="0.25">
      <c r="A26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250113-LAT001</v>
      </c>
      <c r="B2684" s="1" t="str">
        <f>TEXT(Coffee_sales_clean[[#This Row],[Transaction Date]],"dddd")</f>
        <v>Monday</v>
      </c>
      <c r="C2684" s="12">
        <v>45670</v>
      </c>
      <c r="D2684" s="4">
        <v>0.86896151620370365</v>
      </c>
      <c r="E26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84" t="s">
        <v>6</v>
      </c>
      <c r="G2684" s="2">
        <v>21.06</v>
      </c>
    </row>
    <row r="2685" spans="1:7" x14ac:dyDescent="0.25">
      <c r="A26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250114-MOR001</v>
      </c>
      <c r="B2685" s="1" t="str">
        <f>TEXT(Coffee_sales_clean[[#This Row],[Transaction Date]],"dddd")</f>
        <v>Tuesday</v>
      </c>
      <c r="C2685" s="12">
        <v>45671</v>
      </c>
      <c r="D2685" s="4">
        <v>0.31785255787037037</v>
      </c>
      <c r="E26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85" t="s">
        <v>0</v>
      </c>
      <c r="G2685" s="2">
        <v>35.76</v>
      </c>
    </row>
    <row r="2686" spans="1:7" x14ac:dyDescent="0.25">
      <c r="A26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250114-MOR002</v>
      </c>
      <c r="B2686" s="1" t="str">
        <f>TEXT(Coffee_sales_clean[[#This Row],[Transaction Date]],"dddd")</f>
        <v>Tuesday</v>
      </c>
      <c r="C2686" s="12">
        <v>45671</v>
      </c>
      <c r="D2686" s="4">
        <v>0.41230106481481482</v>
      </c>
      <c r="E26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86" t="s">
        <v>5</v>
      </c>
      <c r="G2686" s="2">
        <v>25.96</v>
      </c>
    </row>
    <row r="2687" spans="1:7" x14ac:dyDescent="0.25">
      <c r="A26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250114-MOR003</v>
      </c>
      <c r="B2687" s="1" t="str">
        <f>TEXT(Coffee_sales_clean[[#This Row],[Transaction Date]],"dddd")</f>
        <v>Tuesday</v>
      </c>
      <c r="C2687" s="12">
        <v>45671</v>
      </c>
      <c r="D2687" s="4">
        <v>0.43177781250000002</v>
      </c>
      <c r="E26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87" t="s">
        <v>3</v>
      </c>
      <c r="G2687" s="2">
        <v>30.86</v>
      </c>
    </row>
    <row r="2688" spans="1:7" x14ac:dyDescent="0.25">
      <c r="A26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250114-LUN001</v>
      </c>
      <c r="B2688" s="1" t="str">
        <f>TEXT(Coffee_sales_clean[[#This Row],[Transaction Date]],"dddd")</f>
        <v>Tuesday</v>
      </c>
      <c r="C2688" s="12">
        <v>45671</v>
      </c>
      <c r="D2688" s="4">
        <v>0.53419387731481482</v>
      </c>
      <c r="E26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88" t="s">
        <v>0</v>
      </c>
      <c r="G2688" s="2">
        <v>35.76</v>
      </c>
    </row>
    <row r="2689" spans="1:7" x14ac:dyDescent="0.25">
      <c r="A26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250114-AFT001</v>
      </c>
      <c r="B2689" s="1" t="str">
        <f>TEXT(Coffee_sales_clean[[#This Row],[Transaction Date]],"dddd")</f>
        <v>Tuesday</v>
      </c>
      <c r="C2689" s="12">
        <v>45671</v>
      </c>
      <c r="D2689" s="4">
        <v>0.67938990740740746</v>
      </c>
      <c r="E26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89" t="s">
        <v>3</v>
      </c>
      <c r="G2689" s="2">
        <v>30.86</v>
      </c>
    </row>
    <row r="2690" spans="1:7" x14ac:dyDescent="0.25">
      <c r="A26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250114-AFT002</v>
      </c>
      <c r="B2690" s="1" t="str">
        <f>TEXT(Coffee_sales_clean[[#This Row],[Transaction Date]],"dddd")</f>
        <v>Tuesday</v>
      </c>
      <c r="C2690" s="12">
        <v>45671</v>
      </c>
      <c r="D2690" s="4">
        <v>0.6801681828703704</v>
      </c>
      <c r="E26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90" t="s">
        <v>3</v>
      </c>
      <c r="G2690" s="2">
        <v>30.86</v>
      </c>
    </row>
    <row r="2691" spans="1:7" x14ac:dyDescent="0.25">
      <c r="A26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250114-EVE001</v>
      </c>
      <c r="B2691" s="1" t="str">
        <f>TEXT(Coffee_sales_clean[[#This Row],[Transaction Date]],"dddd")</f>
        <v>Tuesday</v>
      </c>
      <c r="C2691" s="12">
        <v>45671</v>
      </c>
      <c r="D2691" s="4">
        <v>0.82078583333333333</v>
      </c>
      <c r="E26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691" t="s">
        <v>7</v>
      </c>
      <c r="G2691" s="2">
        <v>35.76</v>
      </c>
    </row>
    <row r="2692" spans="1:7" x14ac:dyDescent="0.25">
      <c r="A26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250114-LAT001</v>
      </c>
      <c r="B2692" s="1" t="str">
        <f>TEXT(Coffee_sales_clean[[#This Row],[Transaction Date]],"dddd")</f>
        <v>Tuesday</v>
      </c>
      <c r="C2692" s="12">
        <v>45671</v>
      </c>
      <c r="D2692" s="4">
        <v>0.87680035879629625</v>
      </c>
      <c r="E26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692" t="s">
        <v>0</v>
      </c>
      <c r="G2692" s="2">
        <v>35.76</v>
      </c>
    </row>
    <row r="2693" spans="1:7" x14ac:dyDescent="0.25">
      <c r="A26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250115-MOR001</v>
      </c>
      <c r="B2693" s="1" t="str">
        <f>TEXT(Coffee_sales_clean[[#This Row],[Transaction Date]],"dddd")</f>
        <v>Wednesday</v>
      </c>
      <c r="C2693" s="12">
        <v>45672</v>
      </c>
      <c r="D2693" s="4">
        <v>0.38338241898148145</v>
      </c>
      <c r="E26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693" t="s">
        <v>3</v>
      </c>
      <c r="G2693" s="2">
        <v>30.86</v>
      </c>
    </row>
    <row r="2694" spans="1:7" x14ac:dyDescent="0.25">
      <c r="A26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250115-LUN001</v>
      </c>
      <c r="B2694" s="1" t="str">
        <f>TEXT(Coffee_sales_clean[[#This Row],[Transaction Date]],"dddd")</f>
        <v>Wednesday</v>
      </c>
      <c r="C2694" s="12">
        <v>45672</v>
      </c>
      <c r="D2694" s="4">
        <v>0.4655521412037037</v>
      </c>
      <c r="E26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94" t="s">
        <v>2</v>
      </c>
      <c r="G2694" s="2">
        <v>25.96</v>
      </c>
    </row>
    <row r="2695" spans="1:7" x14ac:dyDescent="0.25">
      <c r="A26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250115-LUN002</v>
      </c>
      <c r="B2695" s="1" t="str">
        <f>TEXT(Coffee_sales_clean[[#This Row],[Transaction Date]],"dddd")</f>
        <v>Wednesday</v>
      </c>
      <c r="C2695" s="12">
        <v>45672</v>
      </c>
      <c r="D2695" s="4">
        <v>0.55155756944444445</v>
      </c>
      <c r="E26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695" t="s">
        <v>7</v>
      </c>
      <c r="G2695" s="2">
        <v>35.76</v>
      </c>
    </row>
    <row r="2696" spans="1:7" x14ac:dyDescent="0.25">
      <c r="A26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250115-AFT001</v>
      </c>
      <c r="B2696" s="1" t="str">
        <f>TEXT(Coffee_sales_clean[[#This Row],[Transaction Date]],"dddd")</f>
        <v>Wednesday</v>
      </c>
      <c r="C2696" s="12">
        <v>45672</v>
      </c>
      <c r="D2696" s="4">
        <v>0.64955929398148149</v>
      </c>
      <c r="E26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96" t="s">
        <v>0</v>
      </c>
      <c r="G2696" s="2">
        <v>35.76</v>
      </c>
    </row>
    <row r="2697" spans="1:7" x14ac:dyDescent="0.25">
      <c r="A26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250115-AFT002</v>
      </c>
      <c r="B2697" s="1" t="str">
        <f>TEXT(Coffee_sales_clean[[#This Row],[Transaction Date]],"dddd")</f>
        <v>Wednesday</v>
      </c>
      <c r="C2697" s="12">
        <v>45672</v>
      </c>
      <c r="D2697" s="4">
        <v>0.65055489583333337</v>
      </c>
      <c r="E26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97" t="s">
        <v>7</v>
      </c>
      <c r="G2697" s="2">
        <v>35.76</v>
      </c>
    </row>
    <row r="2698" spans="1:7" x14ac:dyDescent="0.25">
      <c r="A26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250115-AFT003</v>
      </c>
      <c r="B2698" s="1" t="str">
        <f>TEXT(Coffee_sales_clean[[#This Row],[Transaction Date]],"dddd")</f>
        <v>Wednesday</v>
      </c>
      <c r="C2698" s="12">
        <v>45672</v>
      </c>
      <c r="D2698" s="4">
        <v>0.65133943287037033</v>
      </c>
      <c r="E26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98" t="s">
        <v>0</v>
      </c>
      <c r="G2698" s="2">
        <v>35.76</v>
      </c>
    </row>
    <row r="2699" spans="1:7" x14ac:dyDescent="0.25">
      <c r="A26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250115-AFT004</v>
      </c>
      <c r="B2699" s="1" t="str">
        <f>TEXT(Coffee_sales_clean[[#This Row],[Transaction Date]],"dddd")</f>
        <v>Wednesday</v>
      </c>
      <c r="C2699" s="12">
        <v>45672</v>
      </c>
      <c r="D2699" s="4">
        <v>0.70516232638888887</v>
      </c>
      <c r="E26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699" t="s">
        <v>0</v>
      </c>
      <c r="G2699" s="2">
        <v>35.76</v>
      </c>
    </row>
    <row r="2700" spans="1:7" x14ac:dyDescent="0.25">
      <c r="A27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250115-EVE001</v>
      </c>
      <c r="B2700" s="1" t="str">
        <f>TEXT(Coffee_sales_clean[[#This Row],[Transaction Date]],"dddd")</f>
        <v>Wednesday</v>
      </c>
      <c r="C2700" s="12">
        <v>45672</v>
      </c>
      <c r="D2700" s="4">
        <v>0.75431040509259262</v>
      </c>
      <c r="E27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00" t="s">
        <v>0</v>
      </c>
      <c r="G2700" s="2">
        <v>35.76</v>
      </c>
    </row>
    <row r="2701" spans="1:7" x14ac:dyDescent="0.25">
      <c r="A27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250115-EVE002</v>
      </c>
      <c r="B2701" s="1" t="str">
        <f>TEXT(Coffee_sales_clean[[#This Row],[Transaction Date]],"dddd")</f>
        <v>Wednesday</v>
      </c>
      <c r="C2701" s="12">
        <v>45672</v>
      </c>
      <c r="D2701" s="4">
        <v>0.82724658564814813</v>
      </c>
      <c r="E27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01" t="s">
        <v>0</v>
      </c>
      <c r="G2701" s="2">
        <v>35.76</v>
      </c>
    </row>
    <row r="2702" spans="1:7" x14ac:dyDescent="0.25">
      <c r="A27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250115-LAT001</v>
      </c>
      <c r="B2702" s="1" t="str">
        <f>TEXT(Coffee_sales_clean[[#This Row],[Transaction Date]],"dddd")</f>
        <v>Wednesday</v>
      </c>
      <c r="C2702" s="12">
        <v>45672</v>
      </c>
      <c r="D2702" s="4">
        <v>0.9036373148148148</v>
      </c>
      <c r="E27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02" t="s">
        <v>7</v>
      </c>
      <c r="G2702" s="2">
        <v>35.76</v>
      </c>
    </row>
    <row r="2703" spans="1:7" x14ac:dyDescent="0.25">
      <c r="A27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250116-MOR001</v>
      </c>
      <c r="B2703" s="1" t="str">
        <f>TEXT(Coffee_sales_clean[[#This Row],[Transaction Date]],"dddd")</f>
        <v>Thursday</v>
      </c>
      <c r="C2703" s="12">
        <v>45673</v>
      </c>
      <c r="D2703" s="4">
        <v>0.39788986111111113</v>
      </c>
      <c r="E27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03" t="s">
        <v>0</v>
      </c>
      <c r="G2703" s="2">
        <v>35.76</v>
      </c>
    </row>
    <row r="2704" spans="1:7" x14ac:dyDescent="0.25">
      <c r="A27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250116-MOR002</v>
      </c>
      <c r="B2704" s="1" t="str">
        <f>TEXT(Coffee_sales_clean[[#This Row],[Transaction Date]],"dddd")</f>
        <v>Thursday</v>
      </c>
      <c r="C2704" s="12">
        <v>45673</v>
      </c>
      <c r="D2704" s="4">
        <v>0.40149721064814814</v>
      </c>
      <c r="E27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04" t="s">
        <v>3</v>
      </c>
      <c r="G2704" s="2">
        <v>30.86</v>
      </c>
    </row>
    <row r="2705" spans="1:7" x14ac:dyDescent="0.25">
      <c r="A27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250116-MOR003</v>
      </c>
      <c r="B2705" s="1" t="str">
        <f>TEXT(Coffee_sales_clean[[#This Row],[Transaction Date]],"dddd")</f>
        <v>Thursday</v>
      </c>
      <c r="C2705" s="12">
        <v>45673</v>
      </c>
      <c r="D2705" s="4">
        <v>0.44561204861111109</v>
      </c>
      <c r="E27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05" t="s">
        <v>3</v>
      </c>
      <c r="G2705" s="2">
        <v>30.86</v>
      </c>
    </row>
    <row r="2706" spans="1:7" x14ac:dyDescent="0.25">
      <c r="A27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250116-LUN001</v>
      </c>
      <c r="B2706" s="1" t="str">
        <f>TEXT(Coffee_sales_clean[[#This Row],[Transaction Date]],"dddd")</f>
        <v>Thursday</v>
      </c>
      <c r="C2706" s="12">
        <v>45673</v>
      </c>
      <c r="D2706" s="4">
        <v>0.50852251157407402</v>
      </c>
      <c r="E27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06" t="s">
        <v>5</v>
      </c>
      <c r="G2706" s="2">
        <v>25.96</v>
      </c>
    </row>
    <row r="2707" spans="1:7" x14ac:dyDescent="0.25">
      <c r="A27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250116-AFT001</v>
      </c>
      <c r="B2707" s="1" t="str">
        <f>TEXT(Coffee_sales_clean[[#This Row],[Transaction Date]],"dddd")</f>
        <v>Thursday</v>
      </c>
      <c r="C2707" s="12">
        <v>45673</v>
      </c>
      <c r="D2707" s="4">
        <v>0.63633321759259254</v>
      </c>
      <c r="E27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07" t="s">
        <v>0</v>
      </c>
      <c r="G2707" s="2">
        <v>35.76</v>
      </c>
    </row>
    <row r="2708" spans="1:7" x14ac:dyDescent="0.25">
      <c r="A27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250116-AFT002</v>
      </c>
      <c r="B2708" s="1" t="str">
        <f>TEXT(Coffee_sales_clean[[#This Row],[Transaction Date]],"dddd")</f>
        <v>Thursday</v>
      </c>
      <c r="C2708" s="12">
        <v>45673</v>
      </c>
      <c r="D2708" s="4">
        <v>0.6910996064814815</v>
      </c>
      <c r="E27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08" t="s">
        <v>0</v>
      </c>
      <c r="G2708" s="2">
        <v>35.76</v>
      </c>
    </row>
    <row r="2709" spans="1:7" x14ac:dyDescent="0.25">
      <c r="A27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250116-EVE001</v>
      </c>
      <c r="B2709" s="1" t="str">
        <f>TEXT(Coffee_sales_clean[[#This Row],[Transaction Date]],"dddd")</f>
        <v>Thursday</v>
      </c>
      <c r="C2709" s="12">
        <v>45673</v>
      </c>
      <c r="D2709" s="4">
        <v>0.7610815856481481</v>
      </c>
      <c r="E27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09" t="s">
        <v>7</v>
      </c>
      <c r="G2709" s="2">
        <v>35.76</v>
      </c>
    </row>
    <row r="2710" spans="1:7" x14ac:dyDescent="0.25">
      <c r="A27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250116-LAT001</v>
      </c>
      <c r="B2710" s="1" t="str">
        <f>TEXT(Coffee_sales_clean[[#This Row],[Transaction Date]],"dddd")</f>
        <v>Thursday</v>
      </c>
      <c r="C2710" s="12">
        <v>45673</v>
      </c>
      <c r="D2710" s="4">
        <v>0.88610787037037042</v>
      </c>
      <c r="E27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10" t="s">
        <v>1</v>
      </c>
      <c r="G2710" s="2">
        <v>35.76</v>
      </c>
    </row>
    <row r="2711" spans="1:7" x14ac:dyDescent="0.25">
      <c r="A27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250116-LAT002</v>
      </c>
      <c r="B2711" s="1" t="str">
        <f>TEXT(Coffee_sales_clean[[#This Row],[Transaction Date]],"dddd")</f>
        <v>Thursday</v>
      </c>
      <c r="C2711" s="12">
        <v>45673</v>
      </c>
      <c r="D2711" s="4">
        <v>0.88679603009259256</v>
      </c>
      <c r="E27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11" t="s">
        <v>1</v>
      </c>
      <c r="G2711" s="2">
        <v>35.76</v>
      </c>
    </row>
    <row r="2712" spans="1:7" x14ac:dyDescent="0.25">
      <c r="A27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250116-LAT003</v>
      </c>
      <c r="B2712" s="1" t="str">
        <f>TEXT(Coffee_sales_clean[[#This Row],[Transaction Date]],"dddd")</f>
        <v>Thursday</v>
      </c>
      <c r="C2712" s="12">
        <v>45673</v>
      </c>
      <c r="D2712" s="4">
        <v>0.90292284722222227</v>
      </c>
      <c r="E27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12" t="s">
        <v>5</v>
      </c>
      <c r="G2712" s="2">
        <v>25.96</v>
      </c>
    </row>
    <row r="2713" spans="1:7" x14ac:dyDescent="0.25">
      <c r="A27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250117-MOR001</v>
      </c>
      <c r="B2713" s="1" t="str">
        <f>TEXT(Coffee_sales_clean[[#This Row],[Transaction Date]],"dddd")</f>
        <v>Friday</v>
      </c>
      <c r="C2713" s="12">
        <v>45674</v>
      </c>
      <c r="D2713" s="4">
        <v>0.31828432870370371</v>
      </c>
      <c r="E27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13" t="s">
        <v>4</v>
      </c>
      <c r="G2713" s="2">
        <v>35.76</v>
      </c>
    </row>
    <row r="2714" spans="1:7" x14ac:dyDescent="0.25">
      <c r="A27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250117-MOR002</v>
      </c>
      <c r="B2714" s="1" t="str">
        <f>TEXT(Coffee_sales_clean[[#This Row],[Transaction Date]],"dddd")</f>
        <v>Friday</v>
      </c>
      <c r="C2714" s="12">
        <v>45674</v>
      </c>
      <c r="D2714" s="4">
        <v>0.35162974537037039</v>
      </c>
      <c r="E27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14" t="s">
        <v>0</v>
      </c>
      <c r="G2714" s="2">
        <v>35.76</v>
      </c>
    </row>
    <row r="2715" spans="1:7" x14ac:dyDescent="0.25">
      <c r="A27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250117-MOR003</v>
      </c>
      <c r="B2715" s="1" t="str">
        <f>TEXT(Coffee_sales_clean[[#This Row],[Transaction Date]],"dddd")</f>
        <v>Friday</v>
      </c>
      <c r="C2715" s="12">
        <v>45674</v>
      </c>
      <c r="D2715" s="4">
        <v>0.35264319444444442</v>
      </c>
      <c r="E27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15" t="s">
        <v>7</v>
      </c>
      <c r="G2715" s="2">
        <v>35.76</v>
      </c>
    </row>
    <row r="2716" spans="1:7" x14ac:dyDescent="0.25">
      <c r="A27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250117-MOR004</v>
      </c>
      <c r="B2716" s="1" t="str">
        <f>TEXT(Coffee_sales_clean[[#This Row],[Transaction Date]],"dddd")</f>
        <v>Friday</v>
      </c>
      <c r="C2716" s="12">
        <v>45674</v>
      </c>
      <c r="D2716" s="4">
        <v>0.36662123842592592</v>
      </c>
      <c r="E27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16" t="s">
        <v>3</v>
      </c>
      <c r="G2716" s="2">
        <v>30.86</v>
      </c>
    </row>
    <row r="2717" spans="1:7" x14ac:dyDescent="0.25">
      <c r="A27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250117-MOR005</v>
      </c>
      <c r="B2717" s="1" t="str">
        <f>TEXT(Coffee_sales_clean[[#This Row],[Transaction Date]],"dddd")</f>
        <v>Friday</v>
      </c>
      <c r="C2717" s="12">
        <v>45674</v>
      </c>
      <c r="D2717" s="4">
        <v>0.39419465277777777</v>
      </c>
      <c r="E27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17" t="s">
        <v>3</v>
      </c>
      <c r="G2717" s="2">
        <v>30.86</v>
      </c>
    </row>
    <row r="2718" spans="1:7" x14ac:dyDescent="0.25">
      <c r="A27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250117-AFT001</v>
      </c>
      <c r="B2718" s="1" t="str">
        <f>TEXT(Coffee_sales_clean[[#This Row],[Transaction Date]],"dddd")</f>
        <v>Friday</v>
      </c>
      <c r="C2718" s="12">
        <v>45674</v>
      </c>
      <c r="D2718" s="4">
        <v>0.59784689814814818</v>
      </c>
      <c r="E27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18" t="s">
        <v>4</v>
      </c>
      <c r="G2718" s="2">
        <v>35.76</v>
      </c>
    </row>
    <row r="2719" spans="1:7" x14ac:dyDescent="0.25">
      <c r="A27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250117-AFT002</v>
      </c>
      <c r="B2719" s="1" t="str">
        <f>TEXT(Coffee_sales_clean[[#This Row],[Transaction Date]],"dddd")</f>
        <v>Friday</v>
      </c>
      <c r="C2719" s="12">
        <v>45674</v>
      </c>
      <c r="D2719" s="4">
        <v>0.59864201388888894</v>
      </c>
      <c r="E27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19" t="s">
        <v>4</v>
      </c>
      <c r="G2719" s="2">
        <v>35.76</v>
      </c>
    </row>
    <row r="2720" spans="1:7" x14ac:dyDescent="0.25">
      <c r="A27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250117-EVE001</v>
      </c>
      <c r="B2720" s="1" t="str">
        <f>TEXT(Coffee_sales_clean[[#This Row],[Transaction Date]],"dddd")</f>
        <v>Friday</v>
      </c>
      <c r="C2720" s="12">
        <v>45674</v>
      </c>
      <c r="D2720" s="4">
        <v>0.73553946759259259</v>
      </c>
      <c r="E27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20" t="s">
        <v>1</v>
      </c>
      <c r="G2720" s="2">
        <v>35.76</v>
      </c>
    </row>
    <row r="2721" spans="1:7" x14ac:dyDescent="0.25">
      <c r="A27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250117-LAT001</v>
      </c>
      <c r="B2721" s="1" t="str">
        <f>TEXT(Coffee_sales_clean[[#This Row],[Transaction Date]],"dddd")</f>
        <v>Friday</v>
      </c>
      <c r="C2721" s="12">
        <v>45674</v>
      </c>
      <c r="D2721" s="4">
        <v>0.89049721064814813</v>
      </c>
      <c r="E27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21" t="s">
        <v>1</v>
      </c>
      <c r="G2721" s="2">
        <v>35.76</v>
      </c>
    </row>
    <row r="2722" spans="1:7" x14ac:dyDescent="0.25">
      <c r="A27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250118-MOR001</v>
      </c>
      <c r="B2722" s="1" t="str">
        <f>TEXT(Coffee_sales_clean[[#This Row],[Transaction Date]],"dddd")</f>
        <v>Saturday</v>
      </c>
      <c r="C2722" s="12">
        <v>45675</v>
      </c>
      <c r="D2722" s="4">
        <v>0.42544239583333332</v>
      </c>
      <c r="E27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22" t="s">
        <v>3</v>
      </c>
      <c r="G2722" s="2">
        <v>30.86</v>
      </c>
    </row>
    <row r="2723" spans="1:7" x14ac:dyDescent="0.25">
      <c r="A27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250118-AFT001</v>
      </c>
      <c r="B2723" s="1" t="str">
        <f>TEXT(Coffee_sales_clean[[#This Row],[Transaction Date]],"dddd")</f>
        <v>Saturday</v>
      </c>
      <c r="C2723" s="12">
        <v>45675</v>
      </c>
      <c r="D2723" s="4">
        <v>0.69004744212962965</v>
      </c>
      <c r="E27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23" t="s">
        <v>1</v>
      </c>
      <c r="G2723" s="2">
        <v>35.76</v>
      </c>
    </row>
    <row r="2724" spans="1:7" x14ac:dyDescent="0.25">
      <c r="A27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250118-AFT002</v>
      </c>
      <c r="B2724" s="1" t="str">
        <f>TEXT(Coffee_sales_clean[[#This Row],[Transaction Date]],"dddd")</f>
        <v>Saturday</v>
      </c>
      <c r="C2724" s="12">
        <v>45675</v>
      </c>
      <c r="D2724" s="4">
        <v>0.69113688657407413</v>
      </c>
      <c r="E27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24" t="s">
        <v>0</v>
      </c>
      <c r="G2724" s="2">
        <v>35.76</v>
      </c>
    </row>
    <row r="2725" spans="1:7" x14ac:dyDescent="0.25">
      <c r="A27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250118-AFT003</v>
      </c>
      <c r="B2725" s="1" t="str">
        <f>TEXT(Coffee_sales_clean[[#This Row],[Transaction Date]],"dddd")</f>
        <v>Saturday</v>
      </c>
      <c r="C2725" s="12">
        <v>45675</v>
      </c>
      <c r="D2725" s="4">
        <v>0.69200196759259258</v>
      </c>
      <c r="E27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25" t="s">
        <v>1</v>
      </c>
      <c r="G2725" s="2">
        <v>35.76</v>
      </c>
    </row>
    <row r="2726" spans="1:7" x14ac:dyDescent="0.25">
      <c r="A27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250120-MOR001</v>
      </c>
      <c r="B2726" s="1" t="str">
        <f>TEXT(Coffee_sales_clean[[#This Row],[Transaction Date]],"dddd")</f>
        <v>Monday</v>
      </c>
      <c r="C2726" s="12">
        <v>45677</v>
      </c>
      <c r="D2726" s="4">
        <v>0.35402730324074072</v>
      </c>
      <c r="E27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26" t="s">
        <v>3</v>
      </c>
      <c r="G2726" s="2">
        <v>30.86</v>
      </c>
    </row>
    <row r="2727" spans="1:7" x14ac:dyDescent="0.25">
      <c r="A27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250120-MOR002</v>
      </c>
      <c r="B2727" s="1" t="str">
        <f>TEXT(Coffee_sales_clean[[#This Row],[Transaction Date]],"dddd")</f>
        <v>Monday</v>
      </c>
      <c r="C2727" s="12">
        <v>45677</v>
      </c>
      <c r="D2727" s="4">
        <v>0.45654202546296296</v>
      </c>
      <c r="E27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27" t="s">
        <v>3</v>
      </c>
      <c r="G2727" s="2">
        <v>30.86</v>
      </c>
    </row>
    <row r="2728" spans="1:7" x14ac:dyDescent="0.25">
      <c r="A27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250120-LUN001</v>
      </c>
      <c r="B2728" s="1" t="str">
        <f>TEXT(Coffee_sales_clean[[#This Row],[Transaction Date]],"dddd")</f>
        <v>Monday</v>
      </c>
      <c r="C2728" s="12">
        <v>45677</v>
      </c>
      <c r="D2728" s="4">
        <v>0.48638924768518521</v>
      </c>
      <c r="E27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28" t="s">
        <v>5</v>
      </c>
      <c r="G2728" s="2">
        <v>25.96</v>
      </c>
    </row>
    <row r="2729" spans="1:7" x14ac:dyDescent="0.25">
      <c r="A27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250120-LUN002</v>
      </c>
      <c r="B2729" s="1" t="str">
        <f>TEXT(Coffee_sales_clean[[#This Row],[Transaction Date]],"dddd")</f>
        <v>Monday</v>
      </c>
      <c r="C2729" s="12">
        <v>45677</v>
      </c>
      <c r="D2729" s="4">
        <v>0.50335509259259259</v>
      </c>
      <c r="E27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29" t="s">
        <v>2</v>
      </c>
      <c r="G2729" s="2">
        <v>25.96</v>
      </c>
    </row>
    <row r="2730" spans="1:7" x14ac:dyDescent="0.25">
      <c r="A27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250120-LUN003</v>
      </c>
      <c r="B2730" s="1" t="str">
        <f>TEXT(Coffee_sales_clean[[#This Row],[Transaction Date]],"dddd")</f>
        <v>Monday</v>
      </c>
      <c r="C2730" s="12">
        <v>45677</v>
      </c>
      <c r="D2730" s="4">
        <v>0.50417473379629629</v>
      </c>
      <c r="E27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30" t="s">
        <v>5</v>
      </c>
      <c r="G2730" s="2">
        <v>25.96</v>
      </c>
    </row>
    <row r="2731" spans="1:7" x14ac:dyDescent="0.25">
      <c r="A27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250120-LUN004</v>
      </c>
      <c r="B2731" s="1" t="str">
        <f>TEXT(Coffee_sales_clean[[#This Row],[Transaction Date]],"dddd")</f>
        <v>Monday</v>
      </c>
      <c r="C2731" s="12">
        <v>45677</v>
      </c>
      <c r="D2731" s="4">
        <v>0.5730800231481481</v>
      </c>
      <c r="E27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31" t="s">
        <v>3</v>
      </c>
      <c r="G2731" s="2">
        <v>30.86</v>
      </c>
    </row>
    <row r="2732" spans="1:7" x14ac:dyDescent="0.25">
      <c r="A27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250120-LAT001</v>
      </c>
      <c r="B2732" s="1" t="str">
        <f>TEXT(Coffee_sales_clean[[#This Row],[Transaction Date]],"dddd")</f>
        <v>Monday</v>
      </c>
      <c r="C2732" s="12">
        <v>45677</v>
      </c>
      <c r="D2732" s="4">
        <v>0.8390212037037037</v>
      </c>
      <c r="E27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32" t="s">
        <v>1</v>
      </c>
      <c r="G2732" s="2">
        <v>35.76</v>
      </c>
    </row>
    <row r="2733" spans="1:7" x14ac:dyDescent="0.25">
      <c r="A27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250120-LAT002</v>
      </c>
      <c r="B2733" s="1" t="str">
        <f>TEXT(Coffee_sales_clean[[#This Row],[Transaction Date]],"dddd")</f>
        <v>Monday</v>
      </c>
      <c r="C2733" s="12">
        <v>45677</v>
      </c>
      <c r="D2733" s="4">
        <v>0.85167686342592597</v>
      </c>
      <c r="E27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33" t="s">
        <v>7</v>
      </c>
      <c r="G2733" s="2">
        <v>35.76</v>
      </c>
    </row>
    <row r="2734" spans="1:7" x14ac:dyDescent="0.25">
      <c r="A27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250120-LAT003</v>
      </c>
      <c r="B2734" s="1" t="str">
        <f>TEXT(Coffee_sales_clean[[#This Row],[Transaction Date]],"dddd")</f>
        <v>Monday</v>
      </c>
      <c r="C2734" s="12">
        <v>45677</v>
      </c>
      <c r="D2734" s="4">
        <v>0.85241851851851846</v>
      </c>
      <c r="E27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34" t="s">
        <v>7</v>
      </c>
      <c r="G2734" s="2">
        <v>35.76</v>
      </c>
    </row>
    <row r="2735" spans="1:7" x14ac:dyDescent="0.25">
      <c r="A27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250120-LAT004</v>
      </c>
      <c r="B2735" s="1" t="str">
        <f>TEXT(Coffee_sales_clean[[#This Row],[Transaction Date]],"dddd")</f>
        <v>Monday</v>
      </c>
      <c r="C2735" s="12">
        <v>45677</v>
      </c>
      <c r="D2735" s="4">
        <v>0.88455370370370368</v>
      </c>
      <c r="E27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35" t="s">
        <v>0</v>
      </c>
      <c r="G2735" s="2">
        <v>35.76</v>
      </c>
    </row>
    <row r="2736" spans="1:7" x14ac:dyDescent="0.25">
      <c r="A27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250121-MOR001</v>
      </c>
      <c r="B2736" s="1" t="str">
        <f>TEXT(Coffee_sales_clean[[#This Row],[Transaction Date]],"dddd")</f>
        <v>Tuesday</v>
      </c>
      <c r="C2736" s="12">
        <v>45678</v>
      </c>
      <c r="D2736" s="4">
        <v>0.33685496527777775</v>
      </c>
      <c r="E27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36" t="s">
        <v>4</v>
      </c>
      <c r="G2736" s="2">
        <v>35.76</v>
      </c>
    </row>
    <row r="2737" spans="1:7" x14ac:dyDescent="0.25">
      <c r="A27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250121-MOR002</v>
      </c>
      <c r="B2737" s="1" t="str">
        <f>TEXT(Coffee_sales_clean[[#This Row],[Transaction Date]],"dddd")</f>
        <v>Tuesday</v>
      </c>
      <c r="C2737" s="12">
        <v>45678</v>
      </c>
      <c r="D2737" s="4">
        <v>0.34605660879629629</v>
      </c>
      <c r="E27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37" t="s">
        <v>5</v>
      </c>
      <c r="G2737" s="2">
        <v>25.96</v>
      </c>
    </row>
    <row r="2738" spans="1:7" x14ac:dyDescent="0.25">
      <c r="A27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250121-MOR003</v>
      </c>
      <c r="B2738" s="1" t="str">
        <f>TEXT(Coffee_sales_clean[[#This Row],[Transaction Date]],"dddd")</f>
        <v>Tuesday</v>
      </c>
      <c r="C2738" s="12">
        <v>45678</v>
      </c>
      <c r="D2738" s="4">
        <v>0.34685504629629632</v>
      </c>
      <c r="E27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38" t="s">
        <v>3</v>
      </c>
      <c r="G2738" s="2">
        <v>30.86</v>
      </c>
    </row>
    <row r="2739" spans="1:7" x14ac:dyDescent="0.25">
      <c r="A27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250121-AFT001</v>
      </c>
      <c r="B2739" s="1" t="str">
        <f>TEXT(Coffee_sales_clean[[#This Row],[Transaction Date]],"dddd")</f>
        <v>Tuesday</v>
      </c>
      <c r="C2739" s="12">
        <v>45678</v>
      </c>
      <c r="D2739" s="4">
        <v>0.64949673611111114</v>
      </c>
      <c r="E27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39" t="s">
        <v>2</v>
      </c>
      <c r="G2739" s="2">
        <v>25.96</v>
      </c>
    </row>
    <row r="2740" spans="1:7" x14ac:dyDescent="0.25">
      <c r="A27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250121-EVE001</v>
      </c>
      <c r="B2740" s="1" t="str">
        <f>TEXT(Coffee_sales_clean[[#This Row],[Transaction Date]],"dddd")</f>
        <v>Tuesday</v>
      </c>
      <c r="C2740" s="12">
        <v>45678</v>
      </c>
      <c r="D2740" s="4">
        <v>0.77260068287037043</v>
      </c>
      <c r="E27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40" t="s">
        <v>1</v>
      </c>
      <c r="G2740" s="2">
        <v>35.76</v>
      </c>
    </row>
    <row r="2741" spans="1:7" x14ac:dyDescent="0.25">
      <c r="A27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250121-EVE002</v>
      </c>
      <c r="B2741" s="1" t="str">
        <f>TEXT(Coffee_sales_clean[[#This Row],[Transaction Date]],"dddd")</f>
        <v>Tuesday</v>
      </c>
      <c r="C2741" s="12">
        <v>45678</v>
      </c>
      <c r="D2741" s="4">
        <v>0.78765502314814817</v>
      </c>
      <c r="E27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41" t="s">
        <v>0</v>
      </c>
      <c r="G2741" s="2">
        <v>35.76</v>
      </c>
    </row>
    <row r="2742" spans="1:7" x14ac:dyDescent="0.25">
      <c r="A27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250121-EVE003</v>
      </c>
      <c r="B2742" s="1" t="str">
        <f>TEXT(Coffee_sales_clean[[#This Row],[Transaction Date]],"dddd")</f>
        <v>Tuesday</v>
      </c>
      <c r="C2742" s="12">
        <v>45678</v>
      </c>
      <c r="D2742" s="4">
        <v>0.78906646990740736</v>
      </c>
      <c r="E27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42" t="s">
        <v>0</v>
      </c>
      <c r="G2742" s="2">
        <v>35.76</v>
      </c>
    </row>
    <row r="2743" spans="1:7" x14ac:dyDescent="0.25">
      <c r="A27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250121-EVE004</v>
      </c>
      <c r="B2743" s="1" t="str">
        <f>TEXT(Coffee_sales_clean[[#This Row],[Transaction Date]],"dddd")</f>
        <v>Tuesday</v>
      </c>
      <c r="C2743" s="12">
        <v>45678</v>
      </c>
      <c r="D2743" s="4">
        <v>0.80232781249999996</v>
      </c>
      <c r="E27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43" t="s">
        <v>2</v>
      </c>
      <c r="G2743" s="2">
        <v>25.96</v>
      </c>
    </row>
    <row r="2744" spans="1:7" x14ac:dyDescent="0.25">
      <c r="A27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250122-LUN001</v>
      </c>
      <c r="B2744" s="1" t="str">
        <f>TEXT(Coffee_sales_clean[[#This Row],[Transaction Date]],"dddd")</f>
        <v>Wednesday</v>
      </c>
      <c r="C2744" s="12">
        <v>45679</v>
      </c>
      <c r="D2744" s="4">
        <v>0.47553074074074075</v>
      </c>
      <c r="E27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44" t="s">
        <v>6</v>
      </c>
      <c r="G2744" s="2">
        <v>21.06</v>
      </c>
    </row>
    <row r="2745" spans="1:7" x14ac:dyDescent="0.25">
      <c r="A27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250122-EVE001</v>
      </c>
      <c r="B2745" s="1" t="str">
        <f>TEXT(Coffee_sales_clean[[#This Row],[Transaction Date]],"dddd")</f>
        <v>Wednesday</v>
      </c>
      <c r="C2745" s="12">
        <v>45679</v>
      </c>
      <c r="D2745" s="4">
        <v>0.73063133101851852</v>
      </c>
      <c r="E27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45" t="s">
        <v>3</v>
      </c>
      <c r="G2745" s="2">
        <v>30.86</v>
      </c>
    </row>
    <row r="2746" spans="1:7" x14ac:dyDescent="0.25">
      <c r="A27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250122-EVE002</v>
      </c>
      <c r="B2746" s="1" t="str">
        <f>TEXT(Coffee_sales_clean[[#This Row],[Transaction Date]],"dddd")</f>
        <v>Wednesday</v>
      </c>
      <c r="C2746" s="12">
        <v>45679</v>
      </c>
      <c r="D2746" s="4">
        <v>0.78471497685185188</v>
      </c>
      <c r="E27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46" t="s">
        <v>4</v>
      </c>
      <c r="G2746" s="2">
        <v>35.76</v>
      </c>
    </row>
    <row r="2747" spans="1:7" x14ac:dyDescent="0.25">
      <c r="A27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250122-EVE003</v>
      </c>
      <c r="B2747" s="1" t="str">
        <f>TEXT(Coffee_sales_clean[[#This Row],[Transaction Date]],"dddd")</f>
        <v>Wednesday</v>
      </c>
      <c r="C2747" s="12">
        <v>45679</v>
      </c>
      <c r="D2747" s="4">
        <v>0.79891248842592588</v>
      </c>
      <c r="E27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47" t="s">
        <v>3</v>
      </c>
      <c r="G2747" s="2">
        <v>30.86</v>
      </c>
    </row>
    <row r="2748" spans="1:7" x14ac:dyDescent="0.25">
      <c r="A27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250122-EVE004</v>
      </c>
      <c r="B2748" s="1" t="str">
        <f>TEXT(Coffee_sales_clean[[#This Row],[Transaction Date]],"dddd")</f>
        <v>Wednesday</v>
      </c>
      <c r="C2748" s="12">
        <v>45679</v>
      </c>
      <c r="D2748" s="4">
        <v>0.79957319444444441</v>
      </c>
      <c r="E27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48" t="s">
        <v>7</v>
      </c>
      <c r="G2748" s="2">
        <v>35.76</v>
      </c>
    </row>
    <row r="2749" spans="1:7" x14ac:dyDescent="0.25">
      <c r="A27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250122-EVE005</v>
      </c>
      <c r="B2749" s="1" t="str">
        <f>TEXT(Coffee_sales_clean[[#This Row],[Transaction Date]],"dddd")</f>
        <v>Wednesday</v>
      </c>
      <c r="C2749" s="12">
        <v>45679</v>
      </c>
      <c r="D2749" s="4">
        <v>0.81198730324074075</v>
      </c>
      <c r="E27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49" t="s">
        <v>0</v>
      </c>
      <c r="G2749" s="2">
        <v>35.76</v>
      </c>
    </row>
    <row r="2750" spans="1:7" x14ac:dyDescent="0.25">
      <c r="A27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250122-LAT001</v>
      </c>
      <c r="B2750" s="1" t="str">
        <f>TEXT(Coffee_sales_clean[[#This Row],[Transaction Date]],"dddd")</f>
        <v>Wednesday</v>
      </c>
      <c r="C2750" s="12">
        <v>45679</v>
      </c>
      <c r="D2750" s="4">
        <v>0.8434112037037037</v>
      </c>
      <c r="E27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50" t="s">
        <v>3</v>
      </c>
      <c r="G2750" s="2">
        <v>30.86</v>
      </c>
    </row>
    <row r="2751" spans="1:7" x14ac:dyDescent="0.25">
      <c r="A27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250124-LUN001</v>
      </c>
      <c r="B2751" s="1" t="str">
        <f>TEXT(Coffee_sales_clean[[#This Row],[Transaction Date]],"dddd")</f>
        <v>Friday</v>
      </c>
      <c r="C2751" s="12">
        <v>45681</v>
      </c>
      <c r="D2751" s="4">
        <v>0.57103004629629628</v>
      </c>
      <c r="E27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51" t="s">
        <v>7</v>
      </c>
      <c r="G2751" s="2">
        <v>35.76</v>
      </c>
    </row>
    <row r="2752" spans="1:7" x14ac:dyDescent="0.25">
      <c r="A27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250124-LUN002</v>
      </c>
      <c r="B2752" s="1" t="str">
        <f>TEXT(Coffee_sales_clean[[#This Row],[Transaction Date]],"dddd")</f>
        <v>Friday</v>
      </c>
      <c r="C2752" s="12">
        <v>45681</v>
      </c>
      <c r="D2752" s="4">
        <v>0.57196278935185185</v>
      </c>
      <c r="E27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52" t="s">
        <v>5</v>
      </c>
      <c r="G2752" s="2">
        <v>25.96</v>
      </c>
    </row>
    <row r="2753" spans="1:7" x14ac:dyDescent="0.25">
      <c r="A27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250124-AFT001</v>
      </c>
      <c r="B2753" s="1" t="str">
        <f>TEXT(Coffee_sales_clean[[#This Row],[Transaction Date]],"dddd")</f>
        <v>Friday</v>
      </c>
      <c r="C2753" s="12">
        <v>45681</v>
      </c>
      <c r="D2753" s="4">
        <v>0.64489368055555552</v>
      </c>
      <c r="E27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53" t="s">
        <v>4</v>
      </c>
      <c r="G2753" s="2">
        <v>35.76</v>
      </c>
    </row>
    <row r="2754" spans="1:7" x14ac:dyDescent="0.25">
      <c r="A27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250124-EVE001</v>
      </c>
      <c r="B2754" s="1" t="str">
        <f>TEXT(Coffee_sales_clean[[#This Row],[Transaction Date]],"dddd")</f>
        <v>Friday</v>
      </c>
      <c r="C2754" s="12">
        <v>45681</v>
      </c>
      <c r="D2754" s="4">
        <v>0.73737622685185189</v>
      </c>
      <c r="E27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54" t="s">
        <v>2</v>
      </c>
      <c r="G2754" s="2">
        <v>25.96</v>
      </c>
    </row>
    <row r="2755" spans="1:7" x14ac:dyDescent="0.25">
      <c r="A27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250124-LAT001</v>
      </c>
      <c r="B2755" s="1" t="str">
        <f>TEXT(Coffee_sales_clean[[#This Row],[Transaction Date]],"dddd")</f>
        <v>Friday</v>
      </c>
      <c r="C2755" s="12">
        <v>45681</v>
      </c>
      <c r="D2755" s="4">
        <v>0.88641718749999998</v>
      </c>
      <c r="E27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55" t="s">
        <v>4</v>
      </c>
      <c r="G2755" s="2">
        <v>35.76</v>
      </c>
    </row>
    <row r="2756" spans="1:7" x14ac:dyDescent="0.25">
      <c r="A27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250124-LAT002</v>
      </c>
      <c r="B2756" s="1" t="str">
        <f>TEXT(Coffee_sales_clean[[#This Row],[Transaction Date]],"dddd")</f>
        <v>Friday</v>
      </c>
      <c r="C2756" s="12">
        <v>45681</v>
      </c>
      <c r="D2756" s="4">
        <v>0.93883767361111115</v>
      </c>
      <c r="E27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56" t="s">
        <v>1</v>
      </c>
      <c r="G2756" s="2">
        <v>35.76</v>
      </c>
    </row>
    <row r="2757" spans="1:7" x14ac:dyDescent="0.25">
      <c r="A27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250124-LAT003</v>
      </c>
      <c r="B2757" s="1" t="str">
        <f>TEXT(Coffee_sales_clean[[#This Row],[Transaction Date]],"dddd")</f>
        <v>Friday</v>
      </c>
      <c r="C2757" s="12">
        <v>45681</v>
      </c>
      <c r="D2757" s="4">
        <v>0.93955915509259258</v>
      </c>
      <c r="E27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57" t="s">
        <v>0</v>
      </c>
      <c r="G2757" s="2">
        <v>35.76</v>
      </c>
    </row>
    <row r="2758" spans="1:7" x14ac:dyDescent="0.25">
      <c r="A27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250125-LUN001</v>
      </c>
      <c r="B2758" s="1" t="str">
        <f>TEXT(Coffee_sales_clean[[#This Row],[Transaction Date]],"dddd")</f>
        <v>Saturday</v>
      </c>
      <c r="C2758" s="12">
        <v>45682</v>
      </c>
      <c r="D2758" s="4">
        <v>0.55629846064814814</v>
      </c>
      <c r="E27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58" t="s">
        <v>7</v>
      </c>
      <c r="G2758" s="2">
        <v>35.76</v>
      </c>
    </row>
    <row r="2759" spans="1:7" x14ac:dyDescent="0.25">
      <c r="A27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250125-AFT001</v>
      </c>
      <c r="B2759" s="1" t="str">
        <f>TEXT(Coffee_sales_clean[[#This Row],[Transaction Date]],"dddd")</f>
        <v>Saturday</v>
      </c>
      <c r="C2759" s="12">
        <v>45682</v>
      </c>
      <c r="D2759" s="4">
        <v>0.61000678240740736</v>
      </c>
      <c r="E27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59" t="s">
        <v>7</v>
      </c>
      <c r="G2759" s="2">
        <v>35.76</v>
      </c>
    </row>
    <row r="2760" spans="1:7" x14ac:dyDescent="0.25">
      <c r="A27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250125-AFT002</v>
      </c>
      <c r="B2760" s="1" t="str">
        <f>TEXT(Coffee_sales_clean[[#This Row],[Transaction Date]],"dddd")</f>
        <v>Saturday</v>
      </c>
      <c r="C2760" s="12">
        <v>45682</v>
      </c>
      <c r="D2760" s="4">
        <v>0.61082273148148147</v>
      </c>
      <c r="E27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60" t="s">
        <v>2</v>
      </c>
      <c r="G2760" s="2">
        <v>25.96</v>
      </c>
    </row>
    <row r="2761" spans="1:7" x14ac:dyDescent="0.25">
      <c r="A27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250126-LUN001</v>
      </c>
      <c r="B2761" s="1" t="str">
        <f>TEXT(Coffee_sales_clean[[#This Row],[Transaction Date]],"dddd")</f>
        <v>Sunday</v>
      </c>
      <c r="C2761" s="12">
        <v>45683</v>
      </c>
      <c r="D2761" s="4">
        <v>0.52457168981481483</v>
      </c>
      <c r="E27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61" t="s">
        <v>2</v>
      </c>
      <c r="G2761" s="2">
        <v>25.96</v>
      </c>
    </row>
    <row r="2762" spans="1:7" x14ac:dyDescent="0.25">
      <c r="A27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250126-LUN002</v>
      </c>
      <c r="B2762" s="1" t="str">
        <f>TEXT(Coffee_sales_clean[[#This Row],[Transaction Date]],"dddd")</f>
        <v>Sunday</v>
      </c>
      <c r="C2762" s="12">
        <v>45683</v>
      </c>
      <c r="D2762" s="4">
        <v>0.52539399305555556</v>
      </c>
      <c r="E27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62" t="s">
        <v>6</v>
      </c>
      <c r="G2762" s="2">
        <v>21.06</v>
      </c>
    </row>
    <row r="2763" spans="1:7" x14ac:dyDescent="0.25">
      <c r="A27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250127-MOR001</v>
      </c>
      <c r="B2763" s="1" t="str">
        <f>TEXT(Coffee_sales_clean[[#This Row],[Transaction Date]],"dddd")</f>
        <v>Monday</v>
      </c>
      <c r="C2763" s="12">
        <v>45684</v>
      </c>
      <c r="D2763" s="4">
        <v>0.33868525462962962</v>
      </c>
      <c r="E27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63" t="s">
        <v>5</v>
      </c>
      <c r="G2763" s="2">
        <v>25.96</v>
      </c>
    </row>
    <row r="2764" spans="1:7" x14ac:dyDescent="0.25">
      <c r="A27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250127-MOR002</v>
      </c>
      <c r="B2764" s="1" t="str">
        <f>TEXT(Coffee_sales_clean[[#This Row],[Transaction Date]],"dddd")</f>
        <v>Monday</v>
      </c>
      <c r="C2764" s="12">
        <v>45684</v>
      </c>
      <c r="D2764" s="4">
        <v>0.35605960648148149</v>
      </c>
      <c r="E27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64" t="s">
        <v>2</v>
      </c>
      <c r="G2764" s="2">
        <v>25.96</v>
      </c>
    </row>
    <row r="2765" spans="1:7" x14ac:dyDescent="0.25">
      <c r="A27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250127-LUN001</v>
      </c>
      <c r="B2765" s="1" t="str">
        <f>TEXT(Coffee_sales_clean[[#This Row],[Transaction Date]],"dddd")</f>
        <v>Monday</v>
      </c>
      <c r="C2765" s="12">
        <v>45684</v>
      </c>
      <c r="D2765" s="4">
        <v>0.50349960648148151</v>
      </c>
      <c r="E27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65" t="s">
        <v>7</v>
      </c>
      <c r="G2765" s="2">
        <v>35.76</v>
      </c>
    </row>
    <row r="2766" spans="1:7" x14ac:dyDescent="0.25">
      <c r="A27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250127-LUN002</v>
      </c>
      <c r="B2766" s="1" t="str">
        <f>TEXT(Coffee_sales_clean[[#This Row],[Transaction Date]],"dddd")</f>
        <v>Monday</v>
      </c>
      <c r="C2766" s="12">
        <v>45684</v>
      </c>
      <c r="D2766" s="4">
        <v>0.57301810185185187</v>
      </c>
      <c r="E27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66" t="s">
        <v>3</v>
      </c>
      <c r="G2766" s="2">
        <v>30.86</v>
      </c>
    </row>
    <row r="2767" spans="1:7" x14ac:dyDescent="0.25">
      <c r="A27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250127-AFT001</v>
      </c>
      <c r="B2767" s="1" t="str">
        <f>TEXT(Coffee_sales_clean[[#This Row],[Transaction Date]],"dddd")</f>
        <v>Monday</v>
      </c>
      <c r="C2767" s="12">
        <v>45684</v>
      </c>
      <c r="D2767" s="4">
        <v>0.64437628472222219</v>
      </c>
      <c r="E27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67" t="s">
        <v>3</v>
      </c>
      <c r="G2767" s="2">
        <v>30.86</v>
      </c>
    </row>
    <row r="2768" spans="1:7" x14ac:dyDescent="0.25">
      <c r="A27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250127-AFT002</v>
      </c>
      <c r="B2768" s="1" t="str">
        <f>TEXT(Coffee_sales_clean[[#This Row],[Transaction Date]],"dddd")</f>
        <v>Monday</v>
      </c>
      <c r="C2768" s="12">
        <v>45684</v>
      </c>
      <c r="D2768" s="4">
        <v>0.64514887731481485</v>
      </c>
      <c r="E27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68" t="s">
        <v>5</v>
      </c>
      <c r="G2768" s="2">
        <v>25.96</v>
      </c>
    </row>
    <row r="2769" spans="1:7" x14ac:dyDescent="0.25">
      <c r="A27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250127-AFT003</v>
      </c>
      <c r="B2769" s="1" t="str">
        <f>TEXT(Coffee_sales_clean[[#This Row],[Transaction Date]],"dddd")</f>
        <v>Monday</v>
      </c>
      <c r="C2769" s="12">
        <v>45684</v>
      </c>
      <c r="D2769" s="4">
        <v>0.64597995370370376</v>
      </c>
      <c r="E27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69" t="s">
        <v>3</v>
      </c>
      <c r="G2769" s="2">
        <v>30.86</v>
      </c>
    </row>
    <row r="2770" spans="1:7" x14ac:dyDescent="0.25">
      <c r="A27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250127-EVE001</v>
      </c>
      <c r="B2770" s="1" t="str">
        <f>TEXT(Coffee_sales_clean[[#This Row],[Transaction Date]],"dddd")</f>
        <v>Monday</v>
      </c>
      <c r="C2770" s="12">
        <v>45684</v>
      </c>
      <c r="D2770" s="4">
        <v>0.78841827546296295</v>
      </c>
      <c r="E27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70" t="s">
        <v>0</v>
      </c>
      <c r="G2770" s="2">
        <v>35.76</v>
      </c>
    </row>
    <row r="2771" spans="1:7" x14ac:dyDescent="0.25">
      <c r="A27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250127-EVE002</v>
      </c>
      <c r="B2771" s="1" t="str">
        <f>TEXT(Coffee_sales_clean[[#This Row],[Transaction Date]],"dddd")</f>
        <v>Monday</v>
      </c>
      <c r="C2771" s="12">
        <v>45684</v>
      </c>
      <c r="D2771" s="4">
        <v>0.79352228009259262</v>
      </c>
      <c r="E27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71" t="s">
        <v>0</v>
      </c>
      <c r="G2771" s="2">
        <v>35.76</v>
      </c>
    </row>
    <row r="2772" spans="1:7" x14ac:dyDescent="0.25">
      <c r="A27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250127-EVE003</v>
      </c>
      <c r="B2772" s="1" t="str">
        <f>TEXT(Coffee_sales_clean[[#This Row],[Transaction Date]],"dddd")</f>
        <v>Monday</v>
      </c>
      <c r="C2772" s="12">
        <v>45684</v>
      </c>
      <c r="D2772" s="4">
        <v>0.79427612268518522</v>
      </c>
      <c r="E27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72" t="s">
        <v>0</v>
      </c>
      <c r="G2772" s="2">
        <v>35.76</v>
      </c>
    </row>
    <row r="2773" spans="1:7" x14ac:dyDescent="0.25">
      <c r="A27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250128-MOR001</v>
      </c>
      <c r="B2773" s="1" t="str">
        <f>TEXT(Coffee_sales_clean[[#This Row],[Transaction Date]],"dddd")</f>
        <v>Tuesday</v>
      </c>
      <c r="C2773" s="12">
        <v>45685</v>
      </c>
      <c r="D2773" s="4">
        <v>0.35181475694444442</v>
      </c>
      <c r="E27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73" t="s">
        <v>0</v>
      </c>
      <c r="G2773" s="2">
        <v>35.76</v>
      </c>
    </row>
    <row r="2774" spans="1:7" x14ac:dyDescent="0.25">
      <c r="A27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250128-MOR002</v>
      </c>
      <c r="B2774" s="1" t="str">
        <f>TEXT(Coffee_sales_clean[[#This Row],[Transaction Date]],"dddd")</f>
        <v>Tuesday</v>
      </c>
      <c r="C2774" s="12">
        <v>45685</v>
      </c>
      <c r="D2774" s="4">
        <v>0.3981146527777778</v>
      </c>
      <c r="E27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74" t="s">
        <v>2</v>
      </c>
      <c r="G2774" s="2">
        <v>25.96</v>
      </c>
    </row>
    <row r="2775" spans="1:7" x14ac:dyDescent="0.25">
      <c r="A27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250128-LUN001</v>
      </c>
      <c r="B2775" s="1" t="str">
        <f>TEXT(Coffee_sales_clean[[#This Row],[Transaction Date]],"dddd")</f>
        <v>Tuesday</v>
      </c>
      <c r="C2775" s="12">
        <v>45685</v>
      </c>
      <c r="D2775" s="4">
        <v>0.49753299768518516</v>
      </c>
      <c r="E27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75" t="s">
        <v>3</v>
      </c>
      <c r="G2775" s="2">
        <v>30.86</v>
      </c>
    </row>
    <row r="2776" spans="1:7" x14ac:dyDescent="0.25">
      <c r="A27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250128-LUN002</v>
      </c>
      <c r="B2776" s="1" t="str">
        <f>TEXT(Coffee_sales_clean[[#This Row],[Transaction Date]],"dddd")</f>
        <v>Tuesday</v>
      </c>
      <c r="C2776" s="12">
        <v>45685</v>
      </c>
      <c r="D2776" s="4">
        <v>0.51529204861111111</v>
      </c>
      <c r="E27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76" t="s">
        <v>2</v>
      </c>
      <c r="G2776" s="2">
        <v>25.96</v>
      </c>
    </row>
    <row r="2777" spans="1:7" x14ac:dyDescent="0.25">
      <c r="A27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250128-AFT001</v>
      </c>
      <c r="B2777" s="1" t="str">
        <f>TEXT(Coffee_sales_clean[[#This Row],[Transaction Date]],"dddd")</f>
        <v>Tuesday</v>
      </c>
      <c r="C2777" s="12">
        <v>45685</v>
      </c>
      <c r="D2777" s="4">
        <v>0.6799491319444444</v>
      </c>
      <c r="E27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77" t="s">
        <v>4</v>
      </c>
      <c r="G2777" s="2">
        <v>35.76</v>
      </c>
    </row>
    <row r="2778" spans="1:7" x14ac:dyDescent="0.25">
      <c r="A27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250128-AFT002</v>
      </c>
      <c r="B2778" s="1" t="str">
        <f>TEXT(Coffee_sales_clean[[#This Row],[Transaction Date]],"dddd")</f>
        <v>Tuesday</v>
      </c>
      <c r="C2778" s="12">
        <v>45685</v>
      </c>
      <c r="D2778" s="4">
        <v>0.68107243055555555</v>
      </c>
      <c r="E27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78" t="s">
        <v>5</v>
      </c>
      <c r="G2778" s="2">
        <v>25.96</v>
      </c>
    </row>
    <row r="2779" spans="1:7" x14ac:dyDescent="0.25">
      <c r="A27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250128-EVE001</v>
      </c>
      <c r="B2779" s="1" t="str">
        <f>TEXT(Coffee_sales_clean[[#This Row],[Transaction Date]],"dddd")</f>
        <v>Tuesday</v>
      </c>
      <c r="C2779" s="12">
        <v>45685</v>
      </c>
      <c r="D2779" s="4">
        <v>0.7361218981481481</v>
      </c>
      <c r="E27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79" t="s">
        <v>2</v>
      </c>
      <c r="G2779" s="2">
        <v>25.96</v>
      </c>
    </row>
    <row r="2780" spans="1:7" x14ac:dyDescent="0.25">
      <c r="A27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250128-LAT001</v>
      </c>
      <c r="B2780" s="1" t="str">
        <f>TEXT(Coffee_sales_clean[[#This Row],[Transaction Date]],"dddd")</f>
        <v>Tuesday</v>
      </c>
      <c r="C2780" s="12">
        <v>45685</v>
      </c>
      <c r="D2780" s="4">
        <v>0.84156081018518514</v>
      </c>
      <c r="E27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80" t="s">
        <v>0</v>
      </c>
      <c r="G2780" s="2">
        <v>35.76</v>
      </c>
    </row>
    <row r="2781" spans="1:7" x14ac:dyDescent="0.25">
      <c r="A27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250128-LAT002</v>
      </c>
      <c r="B2781" s="1" t="str">
        <f>TEXT(Coffee_sales_clean[[#This Row],[Transaction Date]],"dddd")</f>
        <v>Tuesday</v>
      </c>
      <c r="C2781" s="12">
        <v>45685</v>
      </c>
      <c r="D2781" s="4">
        <v>0.84288381944444446</v>
      </c>
      <c r="E27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781" t="s">
        <v>7</v>
      </c>
      <c r="G2781" s="2">
        <v>35.76</v>
      </c>
    </row>
    <row r="2782" spans="1:7" x14ac:dyDescent="0.25">
      <c r="A27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250129-MOR001</v>
      </c>
      <c r="B2782" s="1" t="str">
        <f>TEXT(Coffee_sales_clean[[#This Row],[Transaction Date]],"dddd")</f>
        <v>Wednesday</v>
      </c>
      <c r="C2782" s="12">
        <v>45686</v>
      </c>
      <c r="D2782" s="4">
        <v>0.40193474537037038</v>
      </c>
      <c r="E27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82" t="s">
        <v>2</v>
      </c>
      <c r="G2782" s="2">
        <v>25.96</v>
      </c>
    </row>
    <row r="2783" spans="1:7" x14ac:dyDescent="0.25">
      <c r="A27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250129-AFT001</v>
      </c>
      <c r="B2783" s="1" t="str">
        <f>TEXT(Coffee_sales_clean[[#This Row],[Transaction Date]],"dddd")</f>
        <v>Wednesday</v>
      </c>
      <c r="C2783" s="12">
        <v>45686</v>
      </c>
      <c r="D2783" s="4">
        <v>0.68445324074074076</v>
      </c>
      <c r="E27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83" t="s">
        <v>2</v>
      </c>
      <c r="G2783" s="2">
        <v>25.96</v>
      </c>
    </row>
    <row r="2784" spans="1:7" x14ac:dyDescent="0.25">
      <c r="A27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250129-EVE001</v>
      </c>
      <c r="B2784" s="1" t="str">
        <f>TEXT(Coffee_sales_clean[[#This Row],[Transaction Date]],"dddd")</f>
        <v>Wednesday</v>
      </c>
      <c r="C2784" s="12">
        <v>45686</v>
      </c>
      <c r="D2784" s="4">
        <v>0.80495668981481483</v>
      </c>
      <c r="E27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84" t="s">
        <v>3</v>
      </c>
      <c r="G2784" s="2">
        <v>30.86</v>
      </c>
    </row>
    <row r="2785" spans="1:7" x14ac:dyDescent="0.25">
      <c r="A27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250129-EVE002</v>
      </c>
      <c r="B2785" s="1" t="str">
        <f>TEXT(Coffee_sales_clean[[#This Row],[Transaction Date]],"dddd")</f>
        <v>Wednesday</v>
      </c>
      <c r="C2785" s="12">
        <v>45686</v>
      </c>
      <c r="D2785" s="4">
        <v>0.80595711805555559</v>
      </c>
      <c r="E27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85" t="s">
        <v>6</v>
      </c>
      <c r="G2785" s="2">
        <v>21.06</v>
      </c>
    </row>
    <row r="2786" spans="1:7" x14ac:dyDescent="0.25">
      <c r="A27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250130-MOR001</v>
      </c>
      <c r="B2786" s="1" t="str">
        <f>TEXT(Coffee_sales_clean[[#This Row],[Transaction Date]],"dddd")</f>
        <v>Thursday</v>
      </c>
      <c r="C2786" s="12">
        <v>45687</v>
      </c>
      <c r="D2786" s="4">
        <v>0.38756409722222224</v>
      </c>
      <c r="E27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86" t="s">
        <v>3</v>
      </c>
      <c r="G2786" s="2">
        <v>30.86</v>
      </c>
    </row>
    <row r="2787" spans="1:7" x14ac:dyDescent="0.25">
      <c r="A27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250130-MOR002</v>
      </c>
      <c r="B2787" s="1" t="str">
        <f>TEXT(Coffee_sales_clean[[#This Row],[Transaction Date]],"dddd")</f>
        <v>Thursday</v>
      </c>
      <c r="C2787" s="12">
        <v>45687</v>
      </c>
      <c r="D2787" s="4">
        <v>0.42539199074074074</v>
      </c>
      <c r="E27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87" t="s">
        <v>3</v>
      </c>
      <c r="G2787" s="2">
        <v>30.86</v>
      </c>
    </row>
    <row r="2788" spans="1:7" x14ac:dyDescent="0.25">
      <c r="A27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250130-LUN001</v>
      </c>
      <c r="B2788" s="1" t="str">
        <f>TEXT(Coffee_sales_clean[[#This Row],[Transaction Date]],"dddd")</f>
        <v>Thursday</v>
      </c>
      <c r="C2788" s="12">
        <v>45687</v>
      </c>
      <c r="D2788" s="4">
        <v>0.47672656250000001</v>
      </c>
      <c r="E27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88" t="s">
        <v>5</v>
      </c>
      <c r="G2788" s="2">
        <v>25.96</v>
      </c>
    </row>
    <row r="2789" spans="1:7" x14ac:dyDescent="0.25">
      <c r="A27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250130-LUN002</v>
      </c>
      <c r="B2789" s="1" t="str">
        <f>TEXT(Coffee_sales_clean[[#This Row],[Transaction Date]],"dddd")</f>
        <v>Thursday</v>
      </c>
      <c r="C2789" s="12">
        <v>45687</v>
      </c>
      <c r="D2789" s="4">
        <v>0.5293485185185185</v>
      </c>
      <c r="E27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89" t="s">
        <v>1</v>
      </c>
      <c r="G2789" s="2">
        <v>35.76</v>
      </c>
    </row>
    <row r="2790" spans="1:7" x14ac:dyDescent="0.25">
      <c r="A27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250130-LUN003</v>
      </c>
      <c r="B2790" s="1" t="str">
        <f>TEXT(Coffee_sales_clean[[#This Row],[Transaction Date]],"dddd")</f>
        <v>Thursday</v>
      </c>
      <c r="C2790" s="12">
        <v>45687</v>
      </c>
      <c r="D2790" s="4">
        <v>0.54306421296296292</v>
      </c>
      <c r="E27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790" t="s">
        <v>2</v>
      </c>
      <c r="G2790" s="2">
        <v>25.96</v>
      </c>
    </row>
    <row r="2791" spans="1:7" x14ac:dyDescent="0.25">
      <c r="A27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250130-AFT001</v>
      </c>
      <c r="B2791" s="1" t="str">
        <f>TEXT(Coffee_sales_clean[[#This Row],[Transaction Date]],"dddd")</f>
        <v>Thursday</v>
      </c>
      <c r="C2791" s="12">
        <v>45687</v>
      </c>
      <c r="D2791" s="4">
        <v>0.61229487268518523</v>
      </c>
      <c r="E27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791" t="s">
        <v>3</v>
      </c>
      <c r="G2791" s="2">
        <v>30.86</v>
      </c>
    </row>
    <row r="2792" spans="1:7" x14ac:dyDescent="0.25">
      <c r="A27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250130-EVE001</v>
      </c>
      <c r="B2792" s="1" t="str">
        <f>TEXT(Coffee_sales_clean[[#This Row],[Transaction Date]],"dddd")</f>
        <v>Thursday</v>
      </c>
      <c r="C2792" s="12">
        <v>45687</v>
      </c>
      <c r="D2792" s="4">
        <v>0.72139356481481487</v>
      </c>
      <c r="E27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92" t="s">
        <v>1</v>
      </c>
      <c r="G2792" s="2">
        <v>35.76</v>
      </c>
    </row>
    <row r="2793" spans="1:7" x14ac:dyDescent="0.25">
      <c r="A27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250130-EVE002</v>
      </c>
      <c r="B2793" s="1" t="str">
        <f>TEXT(Coffee_sales_clean[[#This Row],[Transaction Date]],"dddd")</f>
        <v>Thursday</v>
      </c>
      <c r="C2793" s="12">
        <v>45687</v>
      </c>
      <c r="D2793" s="4">
        <v>0.76674365740740735</v>
      </c>
      <c r="E27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93" t="s">
        <v>3</v>
      </c>
      <c r="G2793" s="2">
        <v>30.86</v>
      </c>
    </row>
    <row r="2794" spans="1:7" x14ac:dyDescent="0.25">
      <c r="A27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250130-EVE003</v>
      </c>
      <c r="B2794" s="1" t="str">
        <f>TEXT(Coffee_sales_clean[[#This Row],[Transaction Date]],"dddd")</f>
        <v>Thursday</v>
      </c>
      <c r="C2794" s="12">
        <v>45687</v>
      </c>
      <c r="D2794" s="4">
        <v>0.77904696759259262</v>
      </c>
      <c r="E27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794" t="s">
        <v>5</v>
      </c>
      <c r="G2794" s="2">
        <v>25.96</v>
      </c>
    </row>
    <row r="2795" spans="1:7" x14ac:dyDescent="0.25">
      <c r="A27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250131-MOR001</v>
      </c>
      <c r="B2795" s="1" t="str">
        <f>TEXT(Coffee_sales_clean[[#This Row],[Transaction Date]],"dddd")</f>
        <v>Friday</v>
      </c>
      <c r="C2795" s="12">
        <v>45688</v>
      </c>
      <c r="D2795" s="4">
        <v>0.36170658564814817</v>
      </c>
      <c r="E27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95" t="s">
        <v>2</v>
      </c>
      <c r="G2795" s="2">
        <v>25.96</v>
      </c>
    </row>
    <row r="2796" spans="1:7" x14ac:dyDescent="0.25">
      <c r="A27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250131-MOR002</v>
      </c>
      <c r="B2796" s="1" t="str">
        <f>TEXT(Coffee_sales_clean[[#This Row],[Transaction Date]],"dddd")</f>
        <v>Friday</v>
      </c>
      <c r="C2796" s="12">
        <v>45688</v>
      </c>
      <c r="D2796" s="4">
        <v>0.36232326388888891</v>
      </c>
      <c r="E27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96" t="s">
        <v>3</v>
      </c>
      <c r="G2796" s="2">
        <v>30.86</v>
      </c>
    </row>
    <row r="2797" spans="1:7" x14ac:dyDescent="0.25">
      <c r="A27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250131-MOR003</v>
      </c>
      <c r="B2797" s="1" t="str">
        <f>TEXT(Coffee_sales_clean[[#This Row],[Transaction Date]],"dddd")</f>
        <v>Friday</v>
      </c>
      <c r="C2797" s="12">
        <v>45688</v>
      </c>
      <c r="D2797" s="4">
        <v>0.38697710648148148</v>
      </c>
      <c r="E27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97" t="s">
        <v>3</v>
      </c>
      <c r="G2797" s="2">
        <v>30.86</v>
      </c>
    </row>
    <row r="2798" spans="1:7" x14ac:dyDescent="0.25">
      <c r="A27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250131-MOR004</v>
      </c>
      <c r="B2798" s="1" t="str">
        <f>TEXT(Coffee_sales_clean[[#This Row],[Transaction Date]],"dddd")</f>
        <v>Friday</v>
      </c>
      <c r="C2798" s="12">
        <v>45688</v>
      </c>
      <c r="D2798" s="4">
        <v>0.38901598379629632</v>
      </c>
      <c r="E27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98" t="s">
        <v>4</v>
      </c>
      <c r="G2798" s="2">
        <v>35.76</v>
      </c>
    </row>
    <row r="2799" spans="1:7" x14ac:dyDescent="0.25">
      <c r="A27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250131-MOR005</v>
      </c>
      <c r="B2799" s="1" t="str">
        <f>TEXT(Coffee_sales_clean[[#This Row],[Transaction Date]],"dddd")</f>
        <v>Friday</v>
      </c>
      <c r="C2799" s="12">
        <v>45688</v>
      </c>
      <c r="D2799" s="4">
        <v>0.39359682870370372</v>
      </c>
      <c r="E27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799" t="s">
        <v>7</v>
      </c>
      <c r="G2799" s="2">
        <v>35.76</v>
      </c>
    </row>
    <row r="2800" spans="1:7" x14ac:dyDescent="0.25">
      <c r="A28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250131-MOR006</v>
      </c>
      <c r="B2800" s="1" t="str">
        <f>TEXT(Coffee_sales_clean[[#This Row],[Transaction Date]],"dddd")</f>
        <v>Friday</v>
      </c>
      <c r="C2800" s="12">
        <v>45688</v>
      </c>
      <c r="D2800" s="4">
        <v>0.39430252314814812</v>
      </c>
      <c r="E28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00" t="s">
        <v>7</v>
      </c>
      <c r="G2800" s="2">
        <v>35.76</v>
      </c>
    </row>
    <row r="2801" spans="1:7" x14ac:dyDescent="0.25">
      <c r="A28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250131-LUN001</v>
      </c>
      <c r="B2801" s="1" t="str">
        <f>TEXT(Coffee_sales_clean[[#This Row],[Transaction Date]],"dddd")</f>
        <v>Friday</v>
      </c>
      <c r="C2801" s="12">
        <v>45688</v>
      </c>
      <c r="D2801" s="4">
        <v>0.52154214120370368</v>
      </c>
      <c r="E28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01" t="s">
        <v>0</v>
      </c>
      <c r="G2801" s="2">
        <v>35.76</v>
      </c>
    </row>
    <row r="2802" spans="1:7" x14ac:dyDescent="0.25">
      <c r="A28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250131-LUN002</v>
      </c>
      <c r="B2802" s="1" t="str">
        <f>TEXT(Coffee_sales_clean[[#This Row],[Transaction Date]],"dddd")</f>
        <v>Friday</v>
      </c>
      <c r="C2802" s="12">
        <v>45688</v>
      </c>
      <c r="D2802" s="4">
        <v>0.53779763888888887</v>
      </c>
      <c r="E28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02" t="s">
        <v>0</v>
      </c>
      <c r="G2802" s="2">
        <v>35.76</v>
      </c>
    </row>
    <row r="2803" spans="1:7" x14ac:dyDescent="0.25">
      <c r="A28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250131-AFT001</v>
      </c>
      <c r="B2803" s="1" t="str">
        <f>TEXT(Coffee_sales_clean[[#This Row],[Transaction Date]],"dddd")</f>
        <v>Friday</v>
      </c>
      <c r="C2803" s="12">
        <v>45688</v>
      </c>
      <c r="D2803" s="4">
        <v>0.58539665509259264</v>
      </c>
      <c r="E28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03" t="s">
        <v>7</v>
      </c>
      <c r="G2803" s="2">
        <v>35.76</v>
      </c>
    </row>
    <row r="2804" spans="1:7" x14ac:dyDescent="0.25">
      <c r="A28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250131-AFT002</v>
      </c>
      <c r="B2804" s="1" t="str">
        <f>TEXT(Coffee_sales_clean[[#This Row],[Transaction Date]],"dddd")</f>
        <v>Friday</v>
      </c>
      <c r="C2804" s="12">
        <v>45688</v>
      </c>
      <c r="D2804" s="4">
        <v>0.70039346064814811</v>
      </c>
      <c r="E28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04" t="s">
        <v>3</v>
      </c>
      <c r="G2804" s="2">
        <v>30.86</v>
      </c>
    </row>
    <row r="2805" spans="1:7" x14ac:dyDescent="0.25">
      <c r="A28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250131-LAT001</v>
      </c>
      <c r="B2805" s="1" t="str">
        <f>TEXT(Coffee_sales_clean[[#This Row],[Transaction Date]],"dddd")</f>
        <v>Friday</v>
      </c>
      <c r="C2805" s="12">
        <v>45688</v>
      </c>
      <c r="D2805" s="4">
        <v>0.94165327546296296</v>
      </c>
      <c r="E28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805" t="s">
        <v>3</v>
      </c>
      <c r="G2805" s="2">
        <v>30.86</v>
      </c>
    </row>
    <row r="2806" spans="1:7" x14ac:dyDescent="0.25">
      <c r="A28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250131-LAT002</v>
      </c>
      <c r="B2806" s="1" t="str">
        <f>TEXT(Coffee_sales_clean[[#This Row],[Transaction Date]],"dddd")</f>
        <v>Friday</v>
      </c>
      <c r="C2806" s="12">
        <v>45688</v>
      </c>
      <c r="D2806" s="4">
        <v>0.94238461805555551</v>
      </c>
      <c r="E28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806" t="s">
        <v>2</v>
      </c>
      <c r="G2806" s="2">
        <v>25.96</v>
      </c>
    </row>
    <row r="2807" spans="1:7" x14ac:dyDescent="0.25">
      <c r="A28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250201-MOR001</v>
      </c>
      <c r="B2807" s="1" t="str">
        <f>TEXT(Coffee_sales_clean[[#This Row],[Transaction Date]],"dddd")</f>
        <v>Saturday</v>
      </c>
      <c r="C2807" s="12">
        <v>45689</v>
      </c>
      <c r="D2807" s="4">
        <v>0.36832881944444446</v>
      </c>
      <c r="E28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07" t="s">
        <v>3</v>
      </c>
      <c r="G2807" s="2">
        <v>30.86</v>
      </c>
    </row>
    <row r="2808" spans="1:7" x14ac:dyDescent="0.25">
      <c r="A28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250201-MOR002</v>
      </c>
      <c r="B2808" s="1" t="str">
        <f>TEXT(Coffee_sales_clean[[#This Row],[Transaction Date]],"dddd")</f>
        <v>Saturday</v>
      </c>
      <c r="C2808" s="12">
        <v>45689</v>
      </c>
      <c r="D2808" s="4">
        <v>0.42179223379629632</v>
      </c>
      <c r="E28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08" t="s">
        <v>3</v>
      </c>
      <c r="G2808" s="2">
        <v>30.86</v>
      </c>
    </row>
    <row r="2809" spans="1:7" x14ac:dyDescent="0.25">
      <c r="A28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250201-LUN001</v>
      </c>
      <c r="B2809" s="1" t="str">
        <f>TEXT(Coffee_sales_clean[[#This Row],[Transaction Date]],"dddd")</f>
        <v>Saturday</v>
      </c>
      <c r="C2809" s="12">
        <v>45689</v>
      </c>
      <c r="D2809" s="4">
        <v>0.55192869212962958</v>
      </c>
      <c r="E28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09" t="s">
        <v>5</v>
      </c>
      <c r="G2809" s="2">
        <v>25.96</v>
      </c>
    </row>
    <row r="2810" spans="1:7" x14ac:dyDescent="0.25">
      <c r="A28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250201-LUN002</v>
      </c>
      <c r="B2810" s="1" t="str">
        <f>TEXT(Coffee_sales_clean[[#This Row],[Transaction Date]],"dddd")</f>
        <v>Saturday</v>
      </c>
      <c r="C2810" s="12">
        <v>45689</v>
      </c>
      <c r="D2810" s="4">
        <v>0.5524217939814815</v>
      </c>
      <c r="E28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10" t="s">
        <v>5</v>
      </c>
      <c r="G2810" s="2">
        <v>25.96</v>
      </c>
    </row>
    <row r="2811" spans="1:7" x14ac:dyDescent="0.25">
      <c r="A28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250201-AFT001</v>
      </c>
      <c r="B2811" s="1" t="str">
        <f>TEXT(Coffee_sales_clean[[#This Row],[Transaction Date]],"dddd")</f>
        <v>Saturday</v>
      </c>
      <c r="C2811" s="12">
        <v>45689</v>
      </c>
      <c r="D2811" s="4">
        <v>0.60785730324074072</v>
      </c>
      <c r="E28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11" t="s">
        <v>7</v>
      </c>
      <c r="G2811" s="2">
        <v>35.76</v>
      </c>
    </row>
    <row r="2812" spans="1:7" x14ac:dyDescent="0.25">
      <c r="A28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250201-AFT002</v>
      </c>
      <c r="B2812" s="1" t="str">
        <f>TEXT(Coffee_sales_clean[[#This Row],[Transaction Date]],"dddd")</f>
        <v>Saturday</v>
      </c>
      <c r="C2812" s="12">
        <v>45689</v>
      </c>
      <c r="D2812" s="4">
        <v>0.60852557870370372</v>
      </c>
      <c r="E28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12" t="s">
        <v>7</v>
      </c>
      <c r="G2812" s="2">
        <v>35.76</v>
      </c>
    </row>
    <row r="2813" spans="1:7" x14ac:dyDescent="0.25">
      <c r="A28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250201-AFT003</v>
      </c>
      <c r="B2813" s="1" t="str">
        <f>TEXT(Coffee_sales_clean[[#This Row],[Transaction Date]],"dddd")</f>
        <v>Saturday</v>
      </c>
      <c r="C2813" s="12">
        <v>45689</v>
      </c>
      <c r="D2813" s="4">
        <v>0.65971008101851847</v>
      </c>
      <c r="E28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13" t="s">
        <v>0</v>
      </c>
      <c r="G2813" s="2">
        <v>35.76</v>
      </c>
    </row>
    <row r="2814" spans="1:7" x14ac:dyDescent="0.25">
      <c r="A28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250201-EVE001</v>
      </c>
      <c r="B2814" s="1" t="str">
        <f>TEXT(Coffee_sales_clean[[#This Row],[Transaction Date]],"dddd")</f>
        <v>Saturday</v>
      </c>
      <c r="C2814" s="12">
        <v>45689</v>
      </c>
      <c r="D2814" s="4">
        <v>0.78974958333333334</v>
      </c>
      <c r="E28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14" t="s">
        <v>7</v>
      </c>
      <c r="G2814" s="2">
        <v>35.76</v>
      </c>
    </row>
    <row r="2815" spans="1:7" x14ac:dyDescent="0.25">
      <c r="A28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250201-EVE002</v>
      </c>
      <c r="B2815" s="1" t="str">
        <f>TEXT(Coffee_sales_clean[[#This Row],[Transaction Date]],"dddd")</f>
        <v>Saturday</v>
      </c>
      <c r="C2815" s="12">
        <v>45689</v>
      </c>
      <c r="D2815" s="4">
        <v>0.82865165509259264</v>
      </c>
      <c r="E28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15" t="s">
        <v>3</v>
      </c>
      <c r="G2815" s="2">
        <v>30.86</v>
      </c>
    </row>
    <row r="2816" spans="1:7" x14ac:dyDescent="0.25">
      <c r="A28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250201-EVE003</v>
      </c>
      <c r="B2816" s="1" t="str">
        <f>TEXT(Coffee_sales_clean[[#This Row],[Transaction Date]],"dddd")</f>
        <v>Saturday</v>
      </c>
      <c r="C2816" s="12">
        <v>45689</v>
      </c>
      <c r="D2816" s="4">
        <v>0.82944520833333335</v>
      </c>
      <c r="E28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16" t="s">
        <v>3</v>
      </c>
      <c r="G2816" s="2">
        <v>30.86</v>
      </c>
    </row>
    <row r="2817" spans="1:7" x14ac:dyDescent="0.25">
      <c r="A28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250201-LAT001</v>
      </c>
      <c r="B2817" s="1" t="str">
        <f>TEXT(Coffee_sales_clean[[#This Row],[Transaction Date]],"dddd")</f>
        <v>Saturday</v>
      </c>
      <c r="C2817" s="12">
        <v>45689</v>
      </c>
      <c r="D2817" s="4">
        <v>0.90071500000000004</v>
      </c>
      <c r="E28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817" t="s">
        <v>3</v>
      </c>
      <c r="G2817" s="2">
        <v>30.86</v>
      </c>
    </row>
    <row r="2818" spans="1:7" x14ac:dyDescent="0.25">
      <c r="A28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250202-MOR001</v>
      </c>
      <c r="B2818" s="1" t="str">
        <f>TEXT(Coffee_sales_clean[[#This Row],[Transaction Date]],"dddd")</f>
        <v>Sunday</v>
      </c>
      <c r="C2818" s="12">
        <v>45690</v>
      </c>
      <c r="D2818" s="4">
        <v>0.45580949074074073</v>
      </c>
      <c r="E28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18" t="s">
        <v>7</v>
      </c>
      <c r="G2818" s="2">
        <v>35.76</v>
      </c>
    </row>
    <row r="2819" spans="1:7" x14ac:dyDescent="0.25">
      <c r="A28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250202-MOR002</v>
      </c>
      <c r="B2819" s="1" t="str">
        <f>TEXT(Coffee_sales_clean[[#This Row],[Transaction Date]],"dddd")</f>
        <v>Sunday</v>
      </c>
      <c r="C2819" s="12">
        <v>45690</v>
      </c>
      <c r="D2819" s="4">
        <v>0.45668726851851854</v>
      </c>
      <c r="E28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19" t="s">
        <v>7</v>
      </c>
      <c r="G2819" s="2">
        <v>35.76</v>
      </c>
    </row>
    <row r="2820" spans="1:7" x14ac:dyDescent="0.25">
      <c r="A28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250202-LUN001</v>
      </c>
      <c r="B2820" s="1" t="str">
        <f>TEXT(Coffee_sales_clean[[#This Row],[Transaction Date]],"dddd")</f>
        <v>Sunday</v>
      </c>
      <c r="C2820" s="12">
        <v>45690</v>
      </c>
      <c r="D2820" s="4">
        <v>0.53787239583333335</v>
      </c>
      <c r="E28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20" t="s">
        <v>0</v>
      </c>
      <c r="G2820" s="2">
        <v>35.76</v>
      </c>
    </row>
    <row r="2821" spans="1:7" x14ac:dyDescent="0.25">
      <c r="A28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250202-LUN002</v>
      </c>
      <c r="B2821" s="1" t="str">
        <f>TEXT(Coffee_sales_clean[[#This Row],[Transaction Date]],"dddd")</f>
        <v>Sunday</v>
      </c>
      <c r="C2821" s="12">
        <v>45690</v>
      </c>
      <c r="D2821" s="4">
        <v>0.53894274305555556</v>
      </c>
      <c r="E28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21" t="s">
        <v>0</v>
      </c>
      <c r="G2821" s="2">
        <v>35.76</v>
      </c>
    </row>
    <row r="2822" spans="1:7" x14ac:dyDescent="0.25">
      <c r="A28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250202-AFT001</v>
      </c>
      <c r="B2822" s="1" t="str">
        <f>TEXT(Coffee_sales_clean[[#This Row],[Transaction Date]],"dddd")</f>
        <v>Sunday</v>
      </c>
      <c r="C2822" s="12">
        <v>45690</v>
      </c>
      <c r="D2822" s="4">
        <v>0.59927457175925924</v>
      </c>
      <c r="E28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22" t="s">
        <v>3</v>
      </c>
      <c r="G2822" s="2">
        <v>30.86</v>
      </c>
    </row>
    <row r="2823" spans="1:7" x14ac:dyDescent="0.25">
      <c r="A28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250202-AFT002</v>
      </c>
      <c r="B2823" s="1" t="str">
        <f>TEXT(Coffee_sales_clean[[#This Row],[Transaction Date]],"dddd")</f>
        <v>Sunday</v>
      </c>
      <c r="C2823" s="12">
        <v>45690</v>
      </c>
      <c r="D2823" s="4">
        <v>0.69800831018518517</v>
      </c>
      <c r="E28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23" t="s">
        <v>0</v>
      </c>
      <c r="G2823" s="2">
        <v>35.76</v>
      </c>
    </row>
    <row r="2824" spans="1:7" x14ac:dyDescent="0.25">
      <c r="A28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250202-AFT003</v>
      </c>
      <c r="B2824" s="1" t="str">
        <f>TEXT(Coffee_sales_clean[[#This Row],[Transaction Date]],"dddd")</f>
        <v>Sunday</v>
      </c>
      <c r="C2824" s="12">
        <v>45690</v>
      </c>
      <c r="D2824" s="4">
        <v>0.69927341435185186</v>
      </c>
      <c r="E28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24" t="s">
        <v>0</v>
      </c>
      <c r="G2824" s="2">
        <v>35.76</v>
      </c>
    </row>
    <row r="2825" spans="1:7" x14ac:dyDescent="0.25">
      <c r="A28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250203-MOR001</v>
      </c>
      <c r="B2825" s="1" t="str">
        <f>TEXT(Coffee_sales_clean[[#This Row],[Transaction Date]],"dddd")</f>
        <v>Monday</v>
      </c>
      <c r="C2825" s="12">
        <v>45691</v>
      </c>
      <c r="D2825" s="4">
        <v>0.29403692129629627</v>
      </c>
      <c r="E28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25" t="s">
        <v>7</v>
      </c>
      <c r="G2825" s="2">
        <v>35.76</v>
      </c>
    </row>
    <row r="2826" spans="1:7" x14ac:dyDescent="0.25">
      <c r="A28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250203-MOR002</v>
      </c>
      <c r="B2826" s="1" t="str">
        <f>TEXT(Coffee_sales_clean[[#This Row],[Transaction Date]],"dddd")</f>
        <v>Monday</v>
      </c>
      <c r="C2826" s="12">
        <v>45691</v>
      </c>
      <c r="D2826" s="4">
        <v>0.29509917824074072</v>
      </c>
      <c r="E28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26" t="s">
        <v>3</v>
      </c>
      <c r="G2826" s="2">
        <v>30.86</v>
      </c>
    </row>
    <row r="2827" spans="1:7" x14ac:dyDescent="0.25">
      <c r="A28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250203-MOR003</v>
      </c>
      <c r="B2827" s="1" t="str">
        <f>TEXT(Coffee_sales_clean[[#This Row],[Transaction Date]],"dddd")</f>
        <v>Monday</v>
      </c>
      <c r="C2827" s="12">
        <v>45691</v>
      </c>
      <c r="D2827" s="4">
        <v>0.33615309027777779</v>
      </c>
      <c r="E28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27" t="s">
        <v>6</v>
      </c>
      <c r="G2827" s="2">
        <v>21.06</v>
      </c>
    </row>
    <row r="2828" spans="1:7" x14ac:dyDescent="0.25">
      <c r="A28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250203-MOR004</v>
      </c>
      <c r="B2828" s="1" t="str">
        <f>TEXT(Coffee_sales_clean[[#This Row],[Transaction Date]],"dddd")</f>
        <v>Monday</v>
      </c>
      <c r="C2828" s="12">
        <v>45691</v>
      </c>
      <c r="D2828" s="4">
        <v>0.33968711805555557</v>
      </c>
      <c r="E28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28" t="s">
        <v>3</v>
      </c>
      <c r="G2828" s="2">
        <v>30.86</v>
      </c>
    </row>
    <row r="2829" spans="1:7" x14ac:dyDescent="0.25">
      <c r="A28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250203-MOR005</v>
      </c>
      <c r="B2829" s="1" t="str">
        <f>TEXT(Coffee_sales_clean[[#This Row],[Transaction Date]],"dddd")</f>
        <v>Monday</v>
      </c>
      <c r="C2829" s="12">
        <v>45691</v>
      </c>
      <c r="D2829" s="4">
        <v>0.42752974537037036</v>
      </c>
      <c r="E28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29" t="s">
        <v>2</v>
      </c>
      <c r="G2829" s="2">
        <v>25.96</v>
      </c>
    </row>
    <row r="2830" spans="1:7" x14ac:dyDescent="0.25">
      <c r="A28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250203-MOR006</v>
      </c>
      <c r="B2830" s="1" t="str">
        <f>TEXT(Coffee_sales_clean[[#This Row],[Transaction Date]],"dddd")</f>
        <v>Monday</v>
      </c>
      <c r="C2830" s="12">
        <v>45691</v>
      </c>
      <c r="D2830" s="4">
        <v>0.43215759259259257</v>
      </c>
      <c r="E28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30" t="s">
        <v>7</v>
      </c>
      <c r="G2830" s="2">
        <v>35.76</v>
      </c>
    </row>
    <row r="2831" spans="1:7" x14ac:dyDescent="0.25">
      <c r="A28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250203-MOR007</v>
      </c>
      <c r="B2831" s="1" t="str">
        <f>TEXT(Coffee_sales_clean[[#This Row],[Transaction Date]],"dddd")</f>
        <v>Monday</v>
      </c>
      <c r="C2831" s="12">
        <v>45691</v>
      </c>
      <c r="D2831" s="4">
        <v>0.45137326388888888</v>
      </c>
      <c r="E28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31" t="s">
        <v>3</v>
      </c>
      <c r="G2831" s="2">
        <v>30.86</v>
      </c>
    </row>
    <row r="2832" spans="1:7" x14ac:dyDescent="0.25">
      <c r="A28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250203-LUN001</v>
      </c>
      <c r="B2832" s="1" t="str">
        <f>TEXT(Coffee_sales_clean[[#This Row],[Transaction Date]],"dddd")</f>
        <v>Monday</v>
      </c>
      <c r="C2832" s="12">
        <v>45691</v>
      </c>
      <c r="D2832" s="4">
        <v>0.559051724537037</v>
      </c>
      <c r="E28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32" t="s">
        <v>7</v>
      </c>
      <c r="G2832" s="2">
        <v>35.76</v>
      </c>
    </row>
    <row r="2833" spans="1:7" x14ac:dyDescent="0.25">
      <c r="A28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250203-LUN002</v>
      </c>
      <c r="B2833" s="1" t="str">
        <f>TEXT(Coffee_sales_clean[[#This Row],[Transaction Date]],"dddd")</f>
        <v>Monday</v>
      </c>
      <c r="C2833" s="12">
        <v>45691</v>
      </c>
      <c r="D2833" s="4">
        <v>0.56451009259259255</v>
      </c>
      <c r="E28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33" t="s">
        <v>7</v>
      </c>
      <c r="G2833" s="2">
        <v>35.76</v>
      </c>
    </row>
    <row r="2834" spans="1:7" x14ac:dyDescent="0.25">
      <c r="A28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250203-LUN003</v>
      </c>
      <c r="B2834" s="1" t="str">
        <f>TEXT(Coffee_sales_clean[[#This Row],[Transaction Date]],"dddd")</f>
        <v>Monday</v>
      </c>
      <c r="C2834" s="12">
        <v>45691</v>
      </c>
      <c r="D2834" s="4">
        <v>0.57712130787037041</v>
      </c>
      <c r="E28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34" t="s">
        <v>2</v>
      </c>
      <c r="G2834" s="2">
        <v>25.96</v>
      </c>
    </row>
    <row r="2835" spans="1:7" x14ac:dyDescent="0.25">
      <c r="A28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250203-AFT001</v>
      </c>
      <c r="B2835" s="1" t="str">
        <f>TEXT(Coffee_sales_clean[[#This Row],[Transaction Date]],"dddd")</f>
        <v>Monday</v>
      </c>
      <c r="C2835" s="12">
        <v>45691</v>
      </c>
      <c r="D2835" s="4">
        <v>0.58792267361111106</v>
      </c>
      <c r="E28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35" t="s">
        <v>2</v>
      </c>
      <c r="G2835" s="2">
        <v>25.96</v>
      </c>
    </row>
    <row r="2836" spans="1:7" x14ac:dyDescent="0.25">
      <c r="A28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250203-AFT002</v>
      </c>
      <c r="B2836" s="1" t="str">
        <f>TEXT(Coffee_sales_clean[[#This Row],[Transaction Date]],"dddd")</f>
        <v>Monday</v>
      </c>
      <c r="C2836" s="12">
        <v>45691</v>
      </c>
      <c r="D2836" s="4">
        <v>0.61599766203703699</v>
      </c>
      <c r="E28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36" t="s">
        <v>0</v>
      </c>
      <c r="G2836" s="2">
        <v>35.76</v>
      </c>
    </row>
    <row r="2837" spans="1:7" x14ac:dyDescent="0.25">
      <c r="A28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250203-AFT003</v>
      </c>
      <c r="B2837" s="1" t="str">
        <f>TEXT(Coffee_sales_clean[[#This Row],[Transaction Date]],"dddd")</f>
        <v>Monday</v>
      </c>
      <c r="C2837" s="12">
        <v>45691</v>
      </c>
      <c r="D2837" s="4">
        <v>0.61829369212962959</v>
      </c>
      <c r="E28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37" t="s">
        <v>0</v>
      </c>
      <c r="G2837" s="2">
        <v>35.76</v>
      </c>
    </row>
    <row r="2838" spans="1:7" x14ac:dyDescent="0.25">
      <c r="A28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250203-AFT004</v>
      </c>
      <c r="B2838" s="1" t="str">
        <f>TEXT(Coffee_sales_clean[[#This Row],[Transaction Date]],"dddd")</f>
        <v>Monday</v>
      </c>
      <c r="C2838" s="12">
        <v>45691</v>
      </c>
      <c r="D2838" s="4">
        <v>0.62621079861111106</v>
      </c>
      <c r="E28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38" t="s">
        <v>0</v>
      </c>
      <c r="G2838" s="2">
        <v>35.76</v>
      </c>
    </row>
    <row r="2839" spans="1:7" x14ac:dyDescent="0.25">
      <c r="A28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250203-AFT005</v>
      </c>
      <c r="B2839" s="1" t="str">
        <f>TEXT(Coffee_sales_clean[[#This Row],[Transaction Date]],"dddd")</f>
        <v>Monday</v>
      </c>
      <c r="C2839" s="12">
        <v>45691</v>
      </c>
      <c r="D2839" s="4">
        <v>0.65378709490740738</v>
      </c>
      <c r="E28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39" t="s">
        <v>2</v>
      </c>
      <c r="G2839" s="2">
        <v>25.96</v>
      </c>
    </row>
    <row r="2840" spans="1:7" x14ac:dyDescent="0.25">
      <c r="A28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250203-EVE001</v>
      </c>
      <c r="B2840" s="1" t="str">
        <f>TEXT(Coffee_sales_clean[[#This Row],[Transaction Date]],"dddd")</f>
        <v>Monday</v>
      </c>
      <c r="C2840" s="12">
        <v>45691</v>
      </c>
      <c r="D2840" s="4">
        <v>0.70933878472222223</v>
      </c>
      <c r="E28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40" t="s">
        <v>4</v>
      </c>
      <c r="G2840" s="2">
        <v>35.76</v>
      </c>
    </row>
    <row r="2841" spans="1:7" x14ac:dyDescent="0.25">
      <c r="A28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250203-EVE002</v>
      </c>
      <c r="B2841" s="1" t="str">
        <f>TEXT(Coffee_sales_clean[[#This Row],[Transaction Date]],"dddd")</f>
        <v>Monday</v>
      </c>
      <c r="C2841" s="12">
        <v>45691</v>
      </c>
      <c r="D2841" s="4">
        <v>0.71522146990740743</v>
      </c>
      <c r="E28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41" t="s">
        <v>3</v>
      </c>
      <c r="G2841" s="2">
        <v>30.86</v>
      </c>
    </row>
    <row r="2842" spans="1:7" x14ac:dyDescent="0.25">
      <c r="A28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250203-EVE003</v>
      </c>
      <c r="B2842" s="1" t="str">
        <f>TEXT(Coffee_sales_clean[[#This Row],[Transaction Date]],"dddd")</f>
        <v>Monday</v>
      </c>
      <c r="C2842" s="12">
        <v>45691</v>
      </c>
      <c r="D2842" s="4">
        <v>0.71605542824074075</v>
      </c>
      <c r="E28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42" t="s">
        <v>3</v>
      </c>
      <c r="G2842" s="2">
        <v>30.86</v>
      </c>
    </row>
    <row r="2843" spans="1:7" x14ac:dyDescent="0.25">
      <c r="A28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250203-EVE004</v>
      </c>
      <c r="B2843" s="1" t="str">
        <f>TEXT(Coffee_sales_clean[[#This Row],[Transaction Date]],"dddd")</f>
        <v>Monday</v>
      </c>
      <c r="C2843" s="12">
        <v>45691</v>
      </c>
      <c r="D2843" s="4">
        <v>0.71672702546296296</v>
      </c>
      <c r="E28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43" t="s">
        <v>3</v>
      </c>
      <c r="G2843" s="2">
        <v>30.86</v>
      </c>
    </row>
    <row r="2844" spans="1:7" x14ac:dyDescent="0.25">
      <c r="A28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250203-EVE005</v>
      </c>
      <c r="B2844" s="1" t="str">
        <f>TEXT(Coffee_sales_clean[[#This Row],[Transaction Date]],"dddd")</f>
        <v>Monday</v>
      </c>
      <c r="C2844" s="12">
        <v>45691</v>
      </c>
      <c r="D2844" s="4">
        <v>0.71761017361111112</v>
      </c>
      <c r="E28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44" t="s">
        <v>1</v>
      </c>
      <c r="G2844" s="2">
        <v>35.76</v>
      </c>
    </row>
    <row r="2845" spans="1:7" x14ac:dyDescent="0.25">
      <c r="A28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250203-EVE006</v>
      </c>
      <c r="B2845" s="1" t="str">
        <f>TEXT(Coffee_sales_clean[[#This Row],[Transaction Date]],"dddd")</f>
        <v>Monday</v>
      </c>
      <c r="C2845" s="12">
        <v>45691</v>
      </c>
      <c r="D2845" s="4">
        <v>0.71826821759259263</v>
      </c>
      <c r="E28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45" t="s">
        <v>0</v>
      </c>
      <c r="G2845" s="2">
        <v>35.76</v>
      </c>
    </row>
    <row r="2846" spans="1:7" x14ac:dyDescent="0.25">
      <c r="A28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250203-EVE007</v>
      </c>
      <c r="B2846" s="1" t="str">
        <f>TEXT(Coffee_sales_clean[[#This Row],[Transaction Date]],"dddd")</f>
        <v>Monday</v>
      </c>
      <c r="C2846" s="12">
        <v>45691</v>
      </c>
      <c r="D2846" s="4">
        <v>0.71922339120370371</v>
      </c>
      <c r="E28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46" t="s">
        <v>1</v>
      </c>
      <c r="G2846" s="2">
        <v>35.76</v>
      </c>
    </row>
    <row r="2847" spans="1:7" x14ac:dyDescent="0.25">
      <c r="A28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250203-EVE008</v>
      </c>
      <c r="B2847" s="1" t="str">
        <f>TEXT(Coffee_sales_clean[[#This Row],[Transaction Date]],"dddd")</f>
        <v>Monday</v>
      </c>
      <c r="C2847" s="12">
        <v>45691</v>
      </c>
      <c r="D2847" s="4">
        <v>0.73909369212962961</v>
      </c>
      <c r="E28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47" t="s">
        <v>3</v>
      </c>
      <c r="G2847" s="2">
        <v>30.86</v>
      </c>
    </row>
    <row r="2848" spans="1:7" x14ac:dyDescent="0.25">
      <c r="A28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250203-EVE009</v>
      </c>
      <c r="B2848" s="1" t="str">
        <f>TEXT(Coffee_sales_clean[[#This Row],[Transaction Date]],"dddd")</f>
        <v>Monday</v>
      </c>
      <c r="C2848" s="12">
        <v>45691</v>
      </c>
      <c r="D2848" s="4">
        <v>0.75625562499999999</v>
      </c>
      <c r="E28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48" t="s">
        <v>2</v>
      </c>
      <c r="G2848" s="2">
        <v>25.96</v>
      </c>
    </row>
    <row r="2849" spans="1:7" x14ac:dyDescent="0.25">
      <c r="A28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250203-LAT001</v>
      </c>
      <c r="B2849" s="1" t="str">
        <f>TEXT(Coffee_sales_clean[[#This Row],[Transaction Date]],"dddd")</f>
        <v>Monday</v>
      </c>
      <c r="C2849" s="12">
        <v>45691</v>
      </c>
      <c r="D2849" s="4">
        <v>0.86405244212962962</v>
      </c>
      <c r="E28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849" t="s">
        <v>4</v>
      </c>
      <c r="G2849" s="2">
        <v>35.76</v>
      </c>
    </row>
    <row r="2850" spans="1:7" x14ac:dyDescent="0.25">
      <c r="A28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250204-MOR001</v>
      </c>
      <c r="B2850" s="1" t="str">
        <f>TEXT(Coffee_sales_clean[[#This Row],[Transaction Date]],"dddd")</f>
        <v>Tuesday</v>
      </c>
      <c r="C2850" s="12">
        <v>45692</v>
      </c>
      <c r="D2850" s="4">
        <v>0.42010195601851852</v>
      </c>
      <c r="E28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50" t="s">
        <v>3</v>
      </c>
      <c r="G2850" s="2">
        <v>30.86</v>
      </c>
    </row>
    <row r="2851" spans="1:7" x14ac:dyDescent="0.25">
      <c r="A28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250204-MOR002</v>
      </c>
      <c r="B2851" s="1" t="str">
        <f>TEXT(Coffee_sales_clean[[#This Row],[Transaction Date]],"dddd")</f>
        <v>Tuesday</v>
      </c>
      <c r="C2851" s="12">
        <v>45692</v>
      </c>
      <c r="D2851" s="4">
        <v>0.4246682638888889</v>
      </c>
      <c r="E28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51" t="s">
        <v>2</v>
      </c>
      <c r="G2851" s="2">
        <v>25.96</v>
      </c>
    </row>
    <row r="2852" spans="1:7" x14ac:dyDescent="0.25">
      <c r="A28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250204-LUN001</v>
      </c>
      <c r="B2852" s="1" t="str">
        <f>TEXT(Coffee_sales_clean[[#This Row],[Transaction Date]],"dddd")</f>
        <v>Tuesday</v>
      </c>
      <c r="C2852" s="12">
        <v>45692</v>
      </c>
      <c r="D2852" s="4">
        <v>0.5249801273148148</v>
      </c>
      <c r="E28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52" t="s">
        <v>3</v>
      </c>
      <c r="G2852" s="2">
        <v>30.86</v>
      </c>
    </row>
    <row r="2853" spans="1:7" x14ac:dyDescent="0.25">
      <c r="A28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250204-LUN002</v>
      </c>
      <c r="B2853" s="1" t="str">
        <f>TEXT(Coffee_sales_clean[[#This Row],[Transaction Date]],"dddd")</f>
        <v>Tuesday</v>
      </c>
      <c r="C2853" s="12">
        <v>45692</v>
      </c>
      <c r="D2853" s="4">
        <v>0.54697937500000005</v>
      </c>
      <c r="E28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53" t="s">
        <v>5</v>
      </c>
      <c r="G2853" s="2">
        <v>25.96</v>
      </c>
    </row>
    <row r="2854" spans="1:7" x14ac:dyDescent="0.25">
      <c r="A28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250204-AFT001</v>
      </c>
      <c r="B2854" s="1" t="str">
        <f>TEXT(Coffee_sales_clean[[#This Row],[Transaction Date]],"dddd")</f>
        <v>Tuesday</v>
      </c>
      <c r="C2854" s="12">
        <v>45692</v>
      </c>
      <c r="D2854" s="4">
        <v>0.59391215277777776</v>
      </c>
      <c r="E28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54" t="s">
        <v>2</v>
      </c>
      <c r="G2854" s="2">
        <v>25.96</v>
      </c>
    </row>
    <row r="2855" spans="1:7" x14ac:dyDescent="0.25">
      <c r="A28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250204-AFT002</v>
      </c>
      <c r="B2855" s="1" t="str">
        <f>TEXT(Coffee_sales_clean[[#This Row],[Transaction Date]],"dddd")</f>
        <v>Tuesday</v>
      </c>
      <c r="C2855" s="12">
        <v>45692</v>
      </c>
      <c r="D2855" s="4">
        <v>0.59556118055555551</v>
      </c>
      <c r="E28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55" t="s">
        <v>3</v>
      </c>
      <c r="G2855" s="2">
        <v>30.86</v>
      </c>
    </row>
    <row r="2856" spans="1:7" x14ac:dyDescent="0.25">
      <c r="A28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250204-AFT003</v>
      </c>
      <c r="B2856" s="1" t="str">
        <f>TEXT(Coffee_sales_clean[[#This Row],[Transaction Date]],"dddd")</f>
        <v>Tuesday</v>
      </c>
      <c r="C2856" s="12">
        <v>45692</v>
      </c>
      <c r="D2856" s="4">
        <v>0.59708962962962964</v>
      </c>
      <c r="E28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56" t="s">
        <v>2</v>
      </c>
      <c r="G2856" s="2">
        <v>25.96</v>
      </c>
    </row>
    <row r="2857" spans="1:7" x14ac:dyDescent="0.25">
      <c r="A28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250204-EVE001</v>
      </c>
      <c r="B2857" s="1" t="str">
        <f>TEXT(Coffee_sales_clean[[#This Row],[Transaction Date]],"dddd")</f>
        <v>Tuesday</v>
      </c>
      <c r="C2857" s="12">
        <v>45692</v>
      </c>
      <c r="D2857" s="4">
        <v>0.75951148148148151</v>
      </c>
      <c r="E28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57" t="s">
        <v>3</v>
      </c>
      <c r="G2857" s="2">
        <v>30.86</v>
      </c>
    </row>
    <row r="2858" spans="1:7" x14ac:dyDescent="0.25">
      <c r="A28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250204-EVE002</v>
      </c>
      <c r="B2858" s="1" t="str">
        <f>TEXT(Coffee_sales_clean[[#This Row],[Transaction Date]],"dddd")</f>
        <v>Tuesday</v>
      </c>
      <c r="C2858" s="12">
        <v>45692</v>
      </c>
      <c r="D2858" s="4">
        <v>0.79539253472222227</v>
      </c>
      <c r="E28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58" t="s">
        <v>4</v>
      </c>
      <c r="G2858" s="2">
        <v>35.76</v>
      </c>
    </row>
    <row r="2859" spans="1:7" x14ac:dyDescent="0.25">
      <c r="A28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250204-EVE003</v>
      </c>
      <c r="B2859" s="1" t="str">
        <f>TEXT(Coffee_sales_clean[[#This Row],[Transaction Date]],"dddd")</f>
        <v>Tuesday</v>
      </c>
      <c r="C2859" s="12">
        <v>45692</v>
      </c>
      <c r="D2859" s="4">
        <v>0.79834174768518518</v>
      </c>
      <c r="E28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59" t="s">
        <v>4</v>
      </c>
      <c r="G2859" s="2">
        <v>35.76</v>
      </c>
    </row>
    <row r="2860" spans="1:7" x14ac:dyDescent="0.25">
      <c r="A28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250204-EVE004</v>
      </c>
      <c r="B2860" s="1" t="str">
        <f>TEXT(Coffee_sales_clean[[#This Row],[Transaction Date]],"dddd")</f>
        <v>Tuesday</v>
      </c>
      <c r="C2860" s="12">
        <v>45692</v>
      </c>
      <c r="D2860" s="4">
        <v>0.79893025462962963</v>
      </c>
      <c r="E28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60" t="s">
        <v>4</v>
      </c>
      <c r="G2860" s="2">
        <v>35.76</v>
      </c>
    </row>
    <row r="2861" spans="1:7" x14ac:dyDescent="0.25">
      <c r="A28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250204-EVE005</v>
      </c>
      <c r="B2861" s="1" t="str">
        <f>TEXT(Coffee_sales_clean[[#This Row],[Transaction Date]],"dddd")</f>
        <v>Tuesday</v>
      </c>
      <c r="C2861" s="12">
        <v>45692</v>
      </c>
      <c r="D2861" s="4">
        <v>0.81073244212962958</v>
      </c>
      <c r="E28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61" t="s">
        <v>5</v>
      </c>
      <c r="G2861" s="2">
        <v>25.96</v>
      </c>
    </row>
    <row r="2862" spans="1:7" x14ac:dyDescent="0.25">
      <c r="A28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250205-MOR001</v>
      </c>
      <c r="B2862" s="1" t="str">
        <f>TEXT(Coffee_sales_clean[[#This Row],[Transaction Date]],"dddd")</f>
        <v>Wednesday</v>
      </c>
      <c r="C2862" s="12">
        <v>45693</v>
      </c>
      <c r="D2862" s="4">
        <v>0.36262166666666668</v>
      </c>
      <c r="E28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62" t="s">
        <v>3</v>
      </c>
      <c r="G2862" s="2">
        <v>30.86</v>
      </c>
    </row>
    <row r="2863" spans="1:7" x14ac:dyDescent="0.25">
      <c r="A28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250205-MOR002</v>
      </c>
      <c r="B2863" s="1" t="str">
        <f>TEXT(Coffee_sales_clean[[#This Row],[Transaction Date]],"dddd")</f>
        <v>Wednesday</v>
      </c>
      <c r="C2863" s="12">
        <v>45693</v>
      </c>
      <c r="D2863" s="4">
        <v>0.38245049768518519</v>
      </c>
      <c r="E28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63" t="s">
        <v>3</v>
      </c>
      <c r="G2863" s="2">
        <v>30.86</v>
      </c>
    </row>
    <row r="2864" spans="1:7" x14ac:dyDescent="0.25">
      <c r="A28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250205-LUN001</v>
      </c>
      <c r="B2864" s="1" t="str">
        <f>TEXT(Coffee_sales_clean[[#This Row],[Transaction Date]],"dddd")</f>
        <v>Wednesday</v>
      </c>
      <c r="C2864" s="12">
        <v>45693</v>
      </c>
      <c r="D2864" s="4">
        <v>0.49277532407407409</v>
      </c>
      <c r="E28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64" t="s">
        <v>2</v>
      </c>
      <c r="G2864" s="2">
        <v>25.96</v>
      </c>
    </row>
    <row r="2865" spans="1:7" x14ac:dyDescent="0.25">
      <c r="A28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250205-LUN002</v>
      </c>
      <c r="B2865" s="1" t="str">
        <f>TEXT(Coffee_sales_clean[[#This Row],[Transaction Date]],"dddd")</f>
        <v>Wednesday</v>
      </c>
      <c r="C2865" s="12">
        <v>45693</v>
      </c>
      <c r="D2865" s="4">
        <v>0.49353686342592595</v>
      </c>
      <c r="E28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65" t="s">
        <v>2</v>
      </c>
      <c r="G2865" s="2">
        <v>25.96</v>
      </c>
    </row>
    <row r="2866" spans="1:7" x14ac:dyDescent="0.25">
      <c r="A28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250205-LUN003</v>
      </c>
      <c r="B2866" s="1" t="str">
        <f>TEXT(Coffee_sales_clean[[#This Row],[Transaction Date]],"dddd")</f>
        <v>Wednesday</v>
      </c>
      <c r="C2866" s="12">
        <v>45693</v>
      </c>
      <c r="D2866" s="4">
        <v>0.49427528935185183</v>
      </c>
      <c r="E28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66" t="s">
        <v>2</v>
      </c>
      <c r="G2866" s="2">
        <v>25.96</v>
      </c>
    </row>
    <row r="2867" spans="1:7" x14ac:dyDescent="0.25">
      <c r="A28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250205-LUN004</v>
      </c>
      <c r="B2867" s="1" t="str">
        <f>TEXT(Coffee_sales_clean[[#This Row],[Transaction Date]],"dddd")</f>
        <v>Wednesday</v>
      </c>
      <c r="C2867" s="12">
        <v>45693</v>
      </c>
      <c r="D2867" s="4">
        <v>0.49903289351851854</v>
      </c>
      <c r="E28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67" t="s">
        <v>3</v>
      </c>
      <c r="G2867" s="2">
        <v>30.86</v>
      </c>
    </row>
    <row r="2868" spans="1:7" x14ac:dyDescent="0.25">
      <c r="A28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250205-LUN005</v>
      </c>
      <c r="B2868" s="1" t="str">
        <f>TEXT(Coffee_sales_clean[[#This Row],[Transaction Date]],"dddd")</f>
        <v>Wednesday</v>
      </c>
      <c r="C2868" s="12">
        <v>45693</v>
      </c>
      <c r="D2868" s="4">
        <v>0.50748699074074077</v>
      </c>
      <c r="E28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68" t="s">
        <v>2</v>
      </c>
      <c r="G2868" s="2">
        <v>25.96</v>
      </c>
    </row>
    <row r="2869" spans="1:7" x14ac:dyDescent="0.25">
      <c r="A28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250205-LUN006</v>
      </c>
      <c r="B2869" s="1" t="str">
        <f>TEXT(Coffee_sales_clean[[#This Row],[Transaction Date]],"dddd")</f>
        <v>Wednesday</v>
      </c>
      <c r="C2869" s="12">
        <v>45693</v>
      </c>
      <c r="D2869" s="4">
        <v>0.55608991898148152</v>
      </c>
      <c r="E28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69" t="s">
        <v>2</v>
      </c>
      <c r="G2869" s="2">
        <v>25.96</v>
      </c>
    </row>
    <row r="2870" spans="1:7" x14ac:dyDescent="0.25">
      <c r="A28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250205-LUN007</v>
      </c>
      <c r="B2870" s="1" t="str">
        <f>TEXT(Coffee_sales_clean[[#This Row],[Transaction Date]],"dddd")</f>
        <v>Wednesday</v>
      </c>
      <c r="C2870" s="12">
        <v>45693</v>
      </c>
      <c r="D2870" s="4">
        <v>0.57202343749999995</v>
      </c>
      <c r="E28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70" t="s">
        <v>6</v>
      </c>
      <c r="G2870" s="2">
        <v>21.06</v>
      </c>
    </row>
    <row r="2871" spans="1:7" x14ac:dyDescent="0.25">
      <c r="A28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250205-LUN008</v>
      </c>
      <c r="B2871" s="1" t="str">
        <f>TEXT(Coffee_sales_clean[[#This Row],[Transaction Date]],"dddd")</f>
        <v>Wednesday</v>
      </c>
      <c r="C2871" s="12">
        <v>45693</v>
      </c>
      <c r="D2871" s="4">
        <v>0.57256145833333338</v>
      </c>
      <c r="E28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71" t="s">
        <v>6</v>
      </c>
      <c r="G2871" s="2">
        <v>21.06</v>
      </c>
    </row>
    <row r="2872" spans="1:7" x14ac:dyDescent="0.25">
      <c r="A28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250205-AFT001</v>
      </c>
      <c r="B2872" s="1" t="str">
        <f>TEXT(Coffee_sales_clean[[#This Row],[Transaction Date]],"dddd")</f>
        <v>Wednesday</v>
      </c>
      <c r="C2872" s="12">
        <v>45693</v>
      </c>
      <c r="D2872" s="4">
        <v>0.62352667824074071</v>
      </c>
      <c r="E28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72" t="s">
        <v>7</v>
      </c>
      <c r="G2872" s="2">
        <v>35.76</v>
      </c>
    </row>
    <row r="2873" spans="1:7" x14ac:dyDescent="0.25">
      <c r="A28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250205-AFT002</v>
      </c>
      <c r="B2873" s="1" t="str">
        <f>TEXT(Coffee_sales_clean[[#This Row],[Transaction Date]],"dddd")</f>
        <v>Wednesday</v>
      </c>
      <c r="C2873" s="12">
        <v>45693</v>
      </c>
      <c r="D2873" s="4">
        <v>0.66040247685185183</v>
      </c>
      <c r="E28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73" t="s">
        <v>7</v>
      </c>
      <c r="G2873" s="2">
        <v>35.76</v>
      </c>
    </row>
    <row r="2874" spans="1:7" x14ac:dyDescent="0.25">
      <c r="A28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250205-AFT003</v>
      </c>
      <c r="B2874" s="1" t="str">
        <f>TEXT(Coffee_sales_clean[[#This Row],[Transaction Date]],"dddd")</f>
        <v>Wednesday</v>
      </c>
      <c r="C2874" s="12">
        <v>45693</v>
      </c>
      <c r="D2874" s="4">
        <v>0.69051385416666666</v>
      </c>
      <c r="E28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74" t="s">
        <v>1</v>
      </c>
      <c r="G2874" s="2">
        <v>35.76</v>
      </c>
    </row>
    <row r="2875" spans="1:7" x14ac:dyDescent="0.25">
      <c r="A28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250205-AFT004</v>
      </c>
      <c r="B2875" s="1" t="str">
        <f>TEXT(Coffee_sales_clean[[#This Row],[Transaction Date]],"dddd")</f>
        <v>Wednesday</v>
      </c>
      <c r="C2875" s="12">
        <v>45693</v>
      </c>
      <c r="D2875" s="4">
        <v>0.69135424768518516</v>
      </c>
      <c r="E28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75" t="s">
        <v>0</v>
      </c>
      <c r="G2875" s="2">
        <v>35.76</v>
      </c>
    </row>
    <row r="2876" spans="1:7" x14ac:dyDescent="0.25">
      <c r="A28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250205-AFT005</v>
      </c>
      <c r="B2876" s="1" t="str">
        <f>TEXT(Coffee_sales_clean[[#This Row],[Transaction Date]],"dddd")</f>
        <v>Wednesday</v>
      </c>
      <c r="C2876" s="12">
        <v>45693</v>
      </c>
      <c r="D2876" s="4">
        <v>0.69206239583333329</v>
      </c>
      <c r="E28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76" t="s">
        <v>0</v>
      </c>
      <c r="G2876" s="2">
        <v>35.76</v>
      </c>
    </row>
    <row r="2877" spans="1:7" x14ac:dyDescent="0.25">
      <c r="A28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250205-AFT006</v>
      </c>
      <c r="B2877" s="1" t="str">
        <f>TEXT(Coffee_sales_clean[[#This Row],[Transaction Date]],"dddd")</f>
        <v>Wednesday</v>
      </c>
      <c r="C2877" s="12">
        <v>45693</v>
      </c>
      <c r="D2877" s="4">
        <v>0.69377008101851856</v>
      </c>
      <c r="E28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77" t="s">
        <v>4</v>
      </c>
      <c r="G2877" s="2">
        <v>35.76</v>
      </c>
    </row>
    <row r="2878" spans="1:7" x14ac:dyDescent="0.25">
      <c r="A28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250205-AFT007</v>
      </c>
      <c r="B2878" s="1" t="str">
        <f>TEXT(Coffee_sales_clean[[#This Row],[Transaction Date]],"dddd")</f>
        <v>Wednesday</v>
      </c>
      <c r="C2878" s="12">
        <v>45693</v>
      </c>
      <c r="D2878" s="4">
        <v>0.69525456018518517</v>
      </c>
      <c r="E28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78" t="s">
        <v>1</v>
      </c>
      <c r="G2878" s="2">
        <v>35.76</v>
      </c>
    </row>
    <row r="2879" spans="1:7" x14ac:dyDescent="0.25">
      <c r="A28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250205-EVE001</v>
      </c>
      <c r="B2879" s="1" t="str">
        <f>TEXT(Coffee_sales_clean[[#This Row],[Transaction Date]],"dddd")</f>
        <v>Wednesday</v>
      </c>
      <c r="C2879" s="12">
        <v>45693</v>
      </c>
      <c r="D2879" s="4">
        <v>0.76289846064814815</v>
      </c>
      <c r="E28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79" t="s">
        <v>7</v>
      </c>
      <c r="G2879" s="2">
        <v>35.76</v>
      </c>
    </row>
    <row r="2880" spans="1:7" x14ac:dyDescent="0.25">
      <c r="A28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250205-EVE002</v>
      </c>
      <c r="B2880" s="1" t="str">
        <f>TEXT(Coffee_sales_clean[[#This Row],[Transaction Date]],"dddd")</f>
        <v>Wednesday</v>
      </c>
      <c r="C2880" s="12">
        <v>45693</v>
      </c>
      <c r="D2880" s="4">
        <v>0.76376247685185183</v>
      </c>
      <c r="E28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80" t="s">
        <v>7</v>
      </c>
      <c r="G2880" s="2">
        <v>35.76</v>
      </c>
    </row>
    <row r="2881" spans="1:7" x14ac:dyDescent="0.25">
      <c r="A28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250205-EVE003</v>
      </c>
      <c r="B2881" s="1" t="str">
        <f>TEXT(Coffee_sales_clean[[#This Row],[Transaction Date]],"dddd")</f>
        <v>Wednesday</v>
      </c>
      <c r="C2881" s="12">
        <v>45693</v>
      </c>
      <c r="D2881" s="4">
        <v>0.76448479166666672</v>
      </c>
      <c r="E28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81" t="s">
        <v>4</v>
      </c>
      <c r="G2881" s="2">
        <v>35.76</v>
      </c>
    </row>
    <row r="2882" spans="1:7" x14ac:dyDescent="0.25">
      <c r="A28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250205-EVE004</v>
      </c>
      <c r="B2882" s="1" t="str">
        <f>TEXT(Coffee_sales_clean[[#This Row],[Transaction Date]],"dddd")</f>
        <v>Wednesday</v>
      </c>
      <c r="C2882" s="12">
        <v>45693</v>
      </c>
      <c r="D2882" s="4">
        <v>0.76770048611111108</v>
      </c>
      <c r="E28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82" t="s">
        <v>3</v>
      </c>
      <c r="G2882" s="2">
        <v>30.86</v>
      </c>
    </row>
    <row r="2883" spans="1:7" x14ac:dyDescent="0.25">
      <c r="A28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250205-EVE005</v>
      </c>
      <c r="B2883" s="1" t="str">
        <f>TEXT(Coffee_sales_clean[[#This Row],[Transaction Date]],"dddd")</f>
        <v>Wednesday</v>
      </c>
      <c r="C2883" s="12">
        <v>45693</v>
      </c>
      <c r="D2883" s="4">
        <v>0.78173763888888892</v>
      </c>
      <c r="E28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83" t="s">
        <v>7</v>
      </c>
      <c r="G2883" s="2">
        <v>35.76</v>
      </c>
    </row>
    <row r="2884" spans="1:7" x14ac:dyDescent="0.25">
      <c r="A28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250205-EVE006</v>
      </c>
      <c r="B2884" s="1" t="str">
        <f>TEXT(Coffee_sales_clean[[#This Row],[Transaction Date]],"dddd")</f>
        <v>Wednesday</v>
      </c>
      <c r="C2884" s="12">
        <v>45693</v>
      </c>
      <c r="D2884" s="4">
        <v>0.79636877314814813</v>
      </c>
      <c r="E28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84" t="s">
        <v>1</v>
      </c>
      <c r="G2884" s="2">
        <v>35.76</v>
      </c>
    </row>
    <row r="2885" spans="1:7" x14ac:dyDescent="0.25">
      <c r="A28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250205-LAT001</v>
      </c>
      <c r="B2885" s="1" t="str">
        <f>TEXT(Coffee_sales_clean[[#This Row],[Transaction Date]],"dddd")</f>
        <v>Wednesday</v>
      </c>
      <c r="C2885" s="12">
        <v>45693</v>
      </c>
      <c r="D2885" s="4">
        <v>0.83565542824074079</v>
      </c>
      <c r="E28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885" t="s">
        <v>4</v>
      </c>
      <c r="G2885" s="2">
        <v>35.76</v>
      </c>
    </row>
    <row r="2886" spans="1:7" x14ac:dyDescent="0.25">
      <c r="A28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250206-MOR001</v>
      </c>
      <c r="B2886" s="1" t="str">
        <f>TEXT(Coffee_sales_clean[[#This Row],[Transaction Date]],"dddd")</f>
        <v>Thursday</v>
      </c>
      <c r="C2886" s="12">
        <v>45694</v>
      </c>
      <c r="D2886" s="4">
        <v>0.30334079861111113</v>
      </c>
      <c r="E28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86" t="s">
        <v>3</v>
      </c>
      <c r="G2886" s="2">
        <v>30.86</v>
      </c>
    </row>
    <row r="2887" spans="1:7" x14ac:dyDescent="0.25">
      <c r="A28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250206-LUN001</v>
      </c>
      <c r="B2887" s="1" t="str">
        <f>TEXT(Coffee_sales_clean[[#This Row],[Transaction Date]],"dddd")</f>
        <v>Thursday</v>
      </c>
      <c r="C2887" s="12">
        <v>45694</v>
      </c>
      <c r="D2887" s="4">
        <v>0.58288722222222222</v>
      </c>
      <c r="E28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887" t="s">
        <v>2</v>
      </c>
      <c r="G2887" s="2">
        <v>25.96</v>
      </c>
    </row>
    <row r="2888" spans="1:7" x14ac:dyDescent="0.25">
      <c r="A28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250206-AFT001</v>
      </c>
      <c r="B2888" s="1" t="str">
        <f>TEXT(Coffee_sales_clean[[#This Row],[Transaction Date]],"dddd")</f>
        <v>Thursday</v>
      </c>
      <c r="C2888" s="12">
        <v>45694</v>
      </c>
      <c r="D2888" s="4">
        <v>0.62189310185185187</v>
      </c>
      <c r="E28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88" t="s">
        <v>3</v>
      </c>
      <c r="G2888" s="2">
        <v>30.86</v>
      </c>
    </row>
    <row r="2889" spans="1:7" x14ac:dyDescent="0.25">
      <c r="A28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250206-AFT002</v>
      </c>
      <c r="B2889" s="1" t="str">
        <f>TEXT(Coffee_sales_clean[[#This Row],[Transaction Date]],"dddd")</f>
        <v>Thursday</v>
      </c>
      <c r="C2889" s="12">
        <v>45694</v>
      </c>
      <c r="D2889" s="4">
        <v>0.62456506944444445</v>
      </c>
      <c r="E28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89" t="s">
        <v>7</v>
      </c>
      <c r="G2889" s="2">
        <v>35.76</v>
      </c>
    </row>
    <row r="2890" spans="1:7" x14ac:dyDescent="0.25">
      <c r="A28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250206-AFT003</v>
      </c>
      <c r="B2890" s="1" t="str">
        <f>TEXT(Coffee_sales_clean[[#This Row],[Transaction Date]],"dddd")</f>
        <v>Thursday</v>
      </c>
      <c r="C2890" s="12">
        <v>45694</v>
      </c>
      <c r="D2890" s="4">
        <v>0.67696528935185185</v>
      </c>
      <c r="E28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890" t="s">
        <v>4</v>
      </c>
      <c r="G2890" s="2">
        <v>35.76</v>
      </c>
    </row>
    <row r="2891" spans="1:7" x14ac:dyDescent="0.25">
      <c r="A28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250206-EVE001</v>
      </c>
      <c r="B2891" s="1" t="str">
        <f>TEXT(Coffee_sales_clean[[#This Row],[Transaction Date]],"dddd")</f>
        <v>Thursday</v>
      </c>
      <c r="C2891" s="12">
        <v>45694</v>
      </c>
      <c r="D2891" s="4">
        <v>0.71511115740740738</v>
      </c>
      <c r="E28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91" t="s">
        <v>4</v>
      </c>
      <c r="G2891" s="2">
        <v>35.76</v>
      </c>
    </row>
    <row r="2892" spans="1:7" x14ac:dyDescent="0.25">
      <c r="A28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250206-EVE002</v>
      </c>
      <c r="B2892" s="1" t="str">
        <f>TEXT(Coffee_sales_clean[[#This Row],[Transaction Date]],"dddd")</f>
        <v>Thursday</v>
      </c>
      <c r="C2892" s="12">
        <v>45694</v>
      </c>
      <c r="D2892" s="4">
        <v>0.74612315972222221</v>
      </c>
      <c r="E28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92" t="s">
        <v>4</v>
      </c>
      <c r="G2892" s="2">
        <v>35.76</v>
      </c>
    </row>
    <row r="2893" spans="1:7" x14ac:dyDescent="0.25">
      <c r="A28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250206-EVE003</v>
      </c>
      <c r="B2893" s="1" t="str">
        <f>TEXT(Coffee_sales_clean[[#This Row],[Transaction Date]],"dddd")</f>
        <v>Thursday</v>
      </c>
      <c r="C2893" s="12">
        <v>45694</v>
      </c>
      <c r="D2893" s="4">
        <v>0.82861891203703708</v>
      </c>
      <c r="E28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93" t="s">
        <v>7</v>
      </c>
      <c r="G2893" s="2">
        <v>35.76</v>
      </c>
    </row>
    <row r="2894" spans="1:7" x14ac:dyDescent="0.25">
      <c r="A28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250206-EVE004</v>
      </c>
      <c r="B2894" s="1" t="str">
        <f>TEXT(Coffee_sales_clean[[#This Row],[Transaction Date]],"dddd")</f>
        <v>Thursday</v>
      </c>
      <c r="C2894" s="12">
        <v>45694</v>
      </c>
      <c r="D2894" s="4">
        <v>0.82993635416666667</v>
      </c>
      <c r="E28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894" t="s">
        <v>6</v>
      </c>
      <c r="G2894" s="2">
        <v>21.06</v>
      </c>
    </row>
    <row r="2895" spans="1:7" x14ac:dyDescent="0.25">
      <c r="A28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250206-LAT001</v>
      </c>
      <c r="B2895" s="1" t="str">
        <f>TEXT(Coffee_sales_clean[[#This Row],[Transaction Date]],"dddd")</f>
        <v>Thursday</v>
      </c>
      <c r="C2895" s="12">
        <v>45694</v>
      </c>
      <c r="D2895" s="4">
        <v>0.838186400462963</v>
      </c>
      <c r="E28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895" t="s">
        <v>4</v>
      </c>
      <c r="G2895" s="2">
        <v>35.76</v>
      </c>
    </row>
    <row r="2896" spans="1:7" x14ac:dyDescent="0.25">
      <c r="A28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250206-LAT002</v>
      </c>
      <c r="B2896" s="1" t="str">
        <f>TEXT(Coffee_sales_clean[[#This Row],[Transaction Date]],"dddd")</f>
        <v>Thursday</v>
      </c>
      <c r="C2896" s="12">
        <v>45694</v>
      </c>
      <c r="D2896" s="4">
        <v>0.8387396412037037</v>
      </c>
      <c r="E28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896" t="s">
        <v>4</v>
      </c>
      <c r="G2896" s="2">
        <v>35.76</v>
      </c>
    </row>
    <row r="2897" spans="1:7" x14ac:dyDescent="0.25">
      <c r="A28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250206-LAT003</v>
      </c>
      <c r="B2897" s="1" t="str">
        <f>TEXT(Coffee_sales_clean[[#This Row],[Transaction Date]],"dddd")</f>
        <v>Thursday</v>
      </c>
      <c r="C2897" s="12">
        <v>45694</v>
      </c>
      <c r="D2897" s="4">
        <v>0.84946223379629626</v>
      </c>
      <c r="E28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897" t="s">
        <v>0</v>
      </c>
      <c r="G2897" s="2">
        <v>35.76</v>
      </c>
    </row>
    <row r="2898" spans="1:7" x14ac:dyDescent="0.25">
      <c r="A28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250207-MOR001</v>
      </c>
      <c r="B2898" s="1" t="str">
        <f>TEXT(Coffee_sales_clean[[#This Row],[Transaction Date]],"dddd")</f>
        <v>Friday</v>
      </c>
      <c r="C2898" s="12">
        <v>45695</v>
      </c>
      <c r="D2898" s="4">
        <v>0.36446722222222222</v>
      </c>
      <c r="E28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98" t="s">
        <v>3</v>
      </c>
      <c r="G2898" s="2">
        <v>30.86</v>
      </c>
    </row>
    <row r="2899" spans="1:7" x14ac:dyDescent="0.25">
      <c r="A28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250207-MOR002</v>
      </c>
      <c r="B2899" s="1" t="str">
        <f>TEXT(Coffee_sales_clean[[#This Row],[Transaction Date]],"dddd")</f>
        <v>Friday</v>
      </c>
      <c r="C2899" s="12">
        <v>45695</v>
      </c>
      <c r="D2899" s="4">
        <v>0.37991497685185183</v>
      </c>
      <c r="E28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899" t="s">
        <v>3</v>
      </c>
      <c r="G2899" s="2">
        <v>30.86</v>
      </c>
    </row>
    <row r="2900" spans="1:7" x14ac:dyDescent="0.25">
      <c r="A29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250207-MOR003</v>
      </c>
      <c r="B2900" s="1" t="str">
        <f>TEXT(Coffee_sales_clean[[#This Row],[Transaction Date]],"dddd")</f>
        <v>Friday</v>
      </c>
      <c r="C2900" s="12">
        <v>45695</v>
      </c>
      <c r="D2900" s="4">
        <v>0.45096298611111113</v>
      </c>
      <c r="E29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00" t="s">
        <v>2</v>
      </c>
      <c r="G2900" s="2">
        <v>25.96</v>
      </c>
    </row>
    <row r="2901" spans="1:7" x14ac:dyDescent="0.25">
      <c r="A29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250207-LUN001</v>
      </c>
      <c r="B2901" s="1" t="str">
        <f>TEXT(Coffee_sales_clean[[#This Row],[Transaction Date]],"dddd")</f>
        <v>Friday</v>
      </c>
      <c r="C2901" s="12">
        <v>45695</v>
      </c>
      <c r="D2901" s="4">
        <v>0.50669666666666668</v>
      </c>
      <c r="E29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01" t="s">
        <v>4</v>
      </c>
      <c r="G2901" s="2">
        <v>35.76</v>
      </c>
    </row>
    <row r="2902" spans="1:7" x14ac:dyDescent="0.25">
      <c r="A29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250207-LUN002</v>
      </c>
      <c r="B2902" s="1" t="str">
        <f>TEXT(Coffee_sales_clean[[#This Row],[Transaction Date]],"dddd")</f>
        <v>Friday</v>
      </c>
      <c r="C2902" s="12">
        <v>45695</v>
      </c>
      <c r="D2902" s="4">
        <v>0.53567554398148143</v>
      </c>
      <c r="E29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02" t="s">
        <v>3</v>
      </c>
      <c r="G2902" s="2">
        <v>30.86</v>
      </c>
    </row>
    <row r="2903" spans="1:7" x14ac:dyDescent="0.25">
      <c r="A29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250207-LUN003</v>
      </c>
      <c r="B2903" s="1" t="str">
        <f>TEXT(Coffee_sales_clean[[#This Row],[Transaction Date]],"dddd")</f>
        <v>Friday</v>
      </c>
      <c r="C2903" s="12">
        <v>45695</v>
      </c>
      <c r="D2903" s="4">
        <v>0.54087704861111108</v>
      </c>
      <c r="E29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03" t="s">
        <v>2</v>
      </c>
      <c r="G2903" s="2">
        <v>25.96</v>
      </c>
    </row>
    <row r="2904" spans="1:7" x14ac:dyDescent="0.25">
      <c r="A29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250207-AFT001</v>
      </c>
      <c r="B2904" s="1" t="str">
        <f>TEXT(Coffee_sales_clean[[#This Row],[Transaction Date]],"dddd")</f>
        <v>Friday</v>
      </c>
      <c r="C2904" s="12">
        <v>45695</v>
      </c>
      <c r="D2904" s="4">
        <v>0.66957109953703708</v>
      </c>
      <c r="E29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04" t="s">
        <v>5</v>
      </c>
      <c r="G2904" s="2">
        <v>25.96</v>
      </c>
    </row>
    <row r="2905" spans="1:7" x14ac:dyDescent="0.25">
      <c r="A29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250207-AFT002</v>
      </c>
      <c r="B2905" s="1" t="str">
        <f>TEXT(Coffee_sales_clean[[#This Row],[Transaction Date]],"dddd")</f>
        <v>Friday</v>
      </c>
      <c r="C2905" s="12">
        <v>45695</v>
      </c>
      <c r="D2905" s="4">
        <v>0.68209596064814815</v>
      </c>
      <c r="E29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05" t="s">
        <v>0</v>
      </c>
      <c r="G2905" s="2">
        <v>35.76</v>
      </c>
    </row>
    <row r="2906" spans="1:7" x14ac:dyDescent="0.25">
      <c r="A29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250207-AFT003</v>
      </c>
      <c r="B2906" s="1" t="str">
        <f>TEXT(Coffee_sales_clean[[#This Row],[Transaction Date]],"dddd")</f>
        <v>Friday</v>
      </c>
      <c r="C2906" s="12">
        <v>45695</v>
      </c>
      <c r="D2906" s="4">
        <v>0.68280180555555559</v>
      </c>
      <c r="E29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06" t="s">
        <v>1</v>
      </c>
      <c r="G2906" s="2">
        <v>35.76</v>
      </c>
    </row>
    <row r="2907" spans="1:7" x14ac:dyDescent="0.25">
      <c r="A29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250207-AFT004</v>
      </c>
      <c r="B2907" s="1" t="str">
        <f>TEXT(Coffee_sales_clean[[#This Row],[Transaction Date]],"dddd")</f>
        <v>Friday</v>
      </c>
      <c r="C2907" s="12">
        <v>45695</v>
      </c>
      <c r="D2907" s="4">
        <v>0.68374067129629634</v>
      </c>
      <c r="E29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07" t="s">
        <v>0</v>
      </c>
      <c r="G2907" s="2">
        <v>35.76</v>
      </c>
    </row>
    <row r="2908" spans="1:7" x14ac:dyDescent="0.25">
      <c r="A29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250207-EVE001</v>
      </c>
      <c r="B2908" s="1" t="str">
        <f>TEXT(Coffee_sales_clean[[#This Row],[Transaction Date]],"dddd")</f>
        <v>Friday</v>
      </c>
      <c r="C2908" s="12">
        <v>45695</v>
      </c>
      <c r="D2908" s="4">
        <v>0.77959190972222225</v>
      </c>
      <c r="E29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08" t="s">
        <v>4</v>
      </c>
      <c r="G2908" s="2">
        <v>35.76</v>
      </c>
    </row>
    <row r="2909" spans="1:7" x14ac:dyDescent="0.25">
      <c r="A29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250207-EVE002</v>
      </c>
      <c r="B2909" s="1" t="str">
        <f>TEXT(Coffee_sales_clean[[#This Row],[Transaction Date]],"dddd")</f>
        <v>Friday</v>
      </c>
      <c r="C2909" s="12">
        <v>45695</v>
      </c>
      <c r="D2909" s="4">
        <v>0.78027875000000002</v>
      </c>
      <c r="E29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09" t="s">
        <v>4</v>
      </c>
      <c r="G2909" s="2">
        <v>35.76</v>
      </c>
    </row>
    <row r="2910" spans="1:7" x14ac:dyDescent="0.25">
      <c r="A29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250207-EVE003</v>
      </c>
      <c r="B2910" s="1" t="str">
        <f>TEXT(Coffee_sales_clean[[#This Row],[Transaction Date]],"dddd")</f>
        <v>Friday</v>
      </c>
      <c r="C2910" s="12">
        <v>45695</v>
      </c>
      <c r="D2910" s="4">
        <v>0.78091252314814819</v>
      </c>
      <c r="E29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10" t="s">
        <v>5</v>
      </c>
      <c r="G2910" s="2">
        <v>25.96</v>
      </c>
    </row>
    <row r="2911" spans="1:7" x14ac:dyDescent="0.25">
      <c r="A29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250207-EVE004</v>
      </c>
      <c r="B2911" s="1" t="str">
        <f>TEXT(Coffee_sales_clean[[#This Row],[Transaction Date]],"dddd")</f>
        <v>Friday</v>
      </c>
      <c r="C2911" s="12">
        <v>45695</v>
      </c>
      <c r="D2911" s="4">
        <v>0.78151709490740739</v>
      </c>
      <c r="E29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11" t="s">
        <v>4</v>
      </c>
      <c r="G2911" s="2">
        <v>35.76</v>
      </c>
    </row>
    <row r="2912" spans="1:7" x14ac:dyDescent="0.25">
      <c r="A29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250207-LAT001</v>
      </c>
      <c r="B2912" s="1" t="str">
        <f>TEXT(Coffee_sales_clean[[#This Row],[Transaction Date]],"dddd")</f>
        <v>Friday</v>
      </c>
      <c r="C2912" s="12">
        <v>45695</v>
      </c>
      <c r="D2912" s="4">
        <v>0.84096542824074072</v>
      </c>
      <c r="E29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912" t="s">
        <v>4</v>
      </c>
      <c r="G2912" s="2">
        <v>35.76</v>
      </c>
    </row>
    <row r="2913" spans="1:7" x14ac:dyDescent="0.25">
      <c r="A29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250207-LAT002</v>
      </c>
      <c r="B2913" s="1" t="str">
        <f>TEXT(Coffee_sales_clean[[#This Row],[Transaction Date]],"dddd")</f>
        <v>Friday</v>
      </c>
      <c r="C2913" s="12">
        <v>45695</v>
      </c>
      <c r="D2913" s="4">
        <v>0.85482567129629627</v>
      </c>
      <c r="E29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913" t="s">
        <v>5</v>
      </c>
      <c r="G2913" s="2">
        <v>25.96</v>
      </c>
    </row>
    <row r="2914" spans="1:7" x14ac:dyDescent="0.25">
      <c r="A29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250208-MOR001</v>
      </c>
      <c r="B2914" s="1" t="str">
        <f>TEXT(Coffee_sales_clean[[#This Row],[Transaction Date]],"dddd")</f>
        <v>Saturday</v>
      </c>
      <c r="C2914" s="12">
        <v>45696</v>
      </c>
      <c r="D2914" s="4">
        <v>0.37619135416666666</v>
      </c>
      <c r="E29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14" t="s">
        <v>2</v>
      </c>
      <c r="G2914" s="2">
        <v>25.96</v>
      </c>
    </row>
    <row r="2915" spans="1:7" x14ac:dyDescent="0.25">
      <c r="A29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250208-MOR002</v>
      </c>
      <c r="B2915" s="1" t="str">
        <f>TEXT(Coffee_sales_clean[[#This Row],[Transaction Date]],"dddd")</f>
        <v>Saturday</v>
      </c>
      <c r="C2915" s="12">
        <v>45696</v>
      </c>
      <c r="D2915" s="4">
        <v>0.45575335648148146</v>
      </c>
      <c r="E29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15" t="s">
        <v>3</v>
      </c>
      <c r="G2915" s="2">
        <v>30.86</v>
      </c>
    </row>
    <row r="2916" spans="1:7" x14ac:dyDescent="0.25">
      <c r="A29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250208-LUN001</v>
      </c>
      <c r="B2916" s="1" t="str">
        <f>TEXT(Coffee_sales_clean[[#This Row],[Transaction Date]],"dddd")</f>
        <v>Saturday</v>
      </c>
      <c r="C2916" s="12">
        <v>45696</v>
      </c>
      <c r="D2916" s="4">
        <v>0.4602012152777778</v>
      </c>
      <c r="E29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16" t="s">
        <v>5</v>
      </c>
      <c r="G2916" s="2">
        <v>25.96</v>
      </c>
    </row>
    <row r="2917" spans="1:7" x14ac:dyDescent="0.25">
      <c r="A29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250208-LUN002</v>
      </c>
      <c r="B2917" s="1" t="str">
        <f>TEXT(Coffee_sales_clean[[#This Row],[Transaction Date]],"dddd")</f>
        <v>Saturday</v>
      </c>
      <c r="C2917" s="12">
        <v>45696</v>
      </c>
      <c r="D2917" s="4">
        <v>0.48580881944444443</v>
      </c>
      <c r="E29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17" t="s">
        <v>2</v>
      </c>
      <c r="G2917" s="2">
        <v>25.96</v>
      </c>
    </row>
    <row r="2918" spans="1:7" x14ac:dyDescent="0.25">
      <c r="A29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250208-LUN003</v>
      </c>
      <c r="B2918" s="1" t="str">
        <f>TEXT(Coffee_sales_clean[[#This Row],[Transaction Date]],"dddd")</f>
        <v>Saturday</v>
      </c>
      <c r="C2918" s="12">
        <v>45696</v>
      </c>
      <c r="D2918" s="4">
        <v>0.53209305555555553</v>
      </c>
      <c r="E29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18" t="s">
        <v>2</v>
      </c>
      <c r="G2918" s="2">
        <v>25.96</v>
      </c>
    </row>
    <row r="2919" spans="1:7" x14ac:dyDescent="0.25">
      <c r="A29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250208-LUN004</v>
      </c>
      <c r="B2919" s="1" t="str">
        <f>TEXT(Coffee_sales_clean[[#This Row],[Transaction Date]],"dddd")</f>
        <v>Saturday</v>
      </c>
      <c r="C2919" s="12">
        <v>45696</v>
      </c>
      <c r="D2919" s="4">
        <v>0.56027300925925927</v>
      </c>
      <c r="E29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19" t="s">
        <v>2</v>
      </c>
      <c r="G2919" s="2">
        <v>25.96</v>
      </c>
    </row>
    <row r="2920" spans="1:7" x14ac:dyDescent="0.25">
      <c r="A29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250208-AFT001</v>
      </c>
      <c r="B2920" s="1" t="str">
        <f>TEXT(Coffee_sales_clean[[#This Row],[Transaction Date]],"dddd")</f>
        <v>Saturday</v>
      </c>
      <c r="C2920" s="12">
        <v>45696</v>
      </c>
      <c r="D2920" s="4">
        <v>0.62990930555555558</v>
      </c>
      <c r="E29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20" t="s">
        <v>2</v>
      </c>
      <c r="G2920" s="2">
        <v>25.96</v>
      </c>
    </row>
    <row r="2921" spans="1:7" x14ac:dyDescent="0.25">
      <c r="A29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250208-AFT002</v>
      </c>
      <c r="B2921" s="1" t="str">
        <f>TEXT(Coffee_sales_clean[[#This Row],[Transaction Date]],"dddd")</f>
        <v>Saturday</v>
      </c>
      <c r="C2921" s="12">
        <v>45696</v>
      </c>
      <c r="D2921" s="4">
        <v>0.63066215277777782</v>
      </c>
      <c r="E29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21" t="s">
        <v>2</v>
      </c>
      <c r="G2921" s="2">
        <v>25.96</v>
      </c>
    </row>
    <row r="2922" spans="1:7" x14ac:dyDescent="0.25">
      <c r="A29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250209-MOR001</v>
      </c>
      <c r="B2922" s="1" t="str">
        <f>TEXT(Coffee_sales_clean[[#This Row],[Transaction Date]],"dddd")</f>
        <v>Sunday</v>
      </c>
      <c r="C2922" s="12">
        <v>45697</v>
      </c>
      <c r="D2922" s="4">
        <v>0.36764017361111112</v>
      </c>
      <c r="E29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22" t="s">
        <v>4</v>
      </c>
      <c r="G2922" s="2">
        <v>35.76</v>
      </c>
    </row>
    <row r="2923" spans="1:7" x14ac:dyDescent="0.25">
      <c r="A29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250209-MOR002</v>
      </c>
      <c r="B2923" s="1" t="str">
        <f>TEXT(Coffee_sales_clean[[#This Row],[Transaction Date]],"dddd")</f>
        <v>Sunday</v>
      </c>
      <c r="C2923" s="12">
        <v>45697</v>
      </c>
      <c r="D2923" s="4">
        <v>0.4383007523148148</v>
      </c>
      <c r="E29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23" t="s">
        <v>3</v>
      </c>
      <c r="G2923" s="2">
        <v>30.86</v>
      </c>
    </row>
    <row r="2924" spans="1:7" x14ac:dyDescent="0.25">
      <c r="A29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250209-MOR003</v>
      </c>
      <c r="B2924" s="1" t="str">
        <f>TEXT(Coffee_sales_clean[[#This Row],[Transaction Date]],"dddd")</f>
        <v>Sunday</v>
      </c>
      <c r="C2924" s="12">
        <v>45697</v>
      </c>
      <c r="D2924" s="4">
        <v>0.45240762731481482</v>
      </c>
      <c r="E29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24" t="s">
        <v>2</v>
      </c>
      <c r="G2924" s="2">
        <v>25.96</v>
      </c>
    </row>
    <row r="2925" spans="1:7" x14ac:dyDescent="0.25">
      <c r="A29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250209-LUN001</v>
      </c>
      <c r="B2925" s="1" t="str">
        <f>TEXT(Coffee_sales_clean[[#This Row],[Transaction Date]],"dddd")</f>
        <v>Sunday</v>
      </c>
      <c r="C2925" s="12">
        <v>45697</v>
      </c>
      <c r="D2925" s="4">
        <v>0.50353017361111108</v>
      </c>
      <c r="E29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25" t="s">
        <v>0</v>
      </c>
      <c r="G2925" s="2">
        <v>35.76</v>
      </c>
    </row>
    <row r="2926" spans="1:7" x14ac:dyDescent="0.25">
      <c r="A29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250209-AFT001</v>
      </c>
      <c r="B2926" s="1" t="str">
        <f>TEXT(Coffee_sales_clean[[#This Row],[Transaction Date]],"dddd")</f>
        <v>Sunday</v>
      </c>
      <c r="C2926" s="12">
        <v>45697</v>
      </c>
      <c r="D2926" s="4">
        <v>0.63413392361111109</v>
      </c>
      <c r="E29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26" t="s">
        <v>4</v>
      </c>
      <c r="G2926" s="2">
        <v>35.76</v>
      </c>
    </row>
    <row r="2927" spans="1:7" x14ac:dyDescent="0.25">
      <c r="A29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250209-AFT002</v>
      </c>
      <c r="B2927" s="1" t="str">
        <f>TEXT(Coffee_sales_clean[[#This Row],[Transaction Date]],"dddd")</f>
        <v>Sunday</v>
      </c>
      <c r="C2927" s="12">
        <v>45697</v>
      </c>
      <c r="D2927" s="4">
        <v>0.63474936342592592</v>
      </c>
      <c r="E29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27" t="s">
        <v>0</v>
      </c>
      <c r="G2927" s="2">
        <v>35.76</v>
      </c>
    </row>
    <row r="2928" spans="1:7" x14ac:dyDescent="0.25">
      <c r="A29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250209-AFT003</v>
      </c>
      <c r="B2928" s="1" t="str">
        <f>TEXT(Coffee_sales_clean[[#This Row],[Transaction Date]],"dddd")</f>
        <v>Sunday</v>
      </c>
      <c r="C2928" s="12">
        <v>45697</v>
      </c>
      <c r="D2928" s="4">
        <v>0.63608679398148149</v>
      </c>
      <c r="E29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28" t="s">
        <v>1</v>
      </c>
      <c r="G2928" s="2">
        <v>35.76</v>
      </c>
    </row>
    <row r="2929" spans="1:7" x14ac:dyDescent="0.25">
      <c r="A29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250209-AFT004</v>
      </c>
      <c r="B2929" s="1" t="str">
        <f>TEXT(Coffee_sales_clean[[#This Row],[Transaction Date]],"dddd")</f>
        <v>Sunday</v>
      </c>
      <c r="C2929" s="12">
        <v>45697</v>
      </c>
      <c r="D2929" s="4">
        <v>0.63671555555555559</v>
      </c>
      <c r="E29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29" t="s">
        <v>4</v>
      </c>
      <c r="G2929" s="2">
        <v>35.76</v>
      </c>
    </row>
    <row r="2930" spans="1:7" x14ac:dyDescent="0.25">
      <c r="A29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250209-AFT005</v>
      </c>
      <c r="B2930" s="1" t="str">
        <f>TEXT(Coffee_sales_clean[[#This Row],[Transaction Date]],"dddd")</f>
        <v>Sunday</v>
      </c>
      <c r="C2930" s="12">
        <v>45697</v>
      </c>
      <c r="D2930" s="4">
        <v>0.68077343749999997</v>
      </c>
      <c r="E29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30" t="s">
        <v>5</v>
      </c>
      <c r="G2930" s="2">
        <v>25.96</v>
      </c>
    </row>
    <row r="2931" spans="1:7" x14ac:dyDescent="0.25">
      <c r="A29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250210-MOR001</v>
      </c>
      <c r="B2931" s="1" t="str">
        <f>TEXT(Coffee_sales_clean[[#This Row],[Transaction Date]],"dddd")</f>
        <v>Monday</v>
      </c>
      <c r="C2931" s="12">
        <v>45698</v>
      </c>
      <c r="D2931" s="4">
        <v>0.29290021990740739</v>
      </c>
      <c r="E29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31" t="s">
        <v>2</v>
      </c>
      <c r="G2931" s="2">
        <v>25.96</v>
      </c>
    </row>
    <row r="2932" spans="1:7" x14ac:dyDescent="0.25">
      <c r="A29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250210-MOR002</v>
      </c>
      <c r="B2932" s="1" t="str">
        <f>TEXT(Coffee_sales_clean[[#This Row],[Transaction Date]],"dddd")</f>
        <v>Monday</v>
      </c>
      <c r="C2932" s="12">
        <v>45698</v>
      </c>
      <c r="D2932" s="4">
        <v>0.34481626157407408</v>
      </c>
      <c r="E29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32" t="s">
        <v>2</v>
      </c>
      <c r="G2932" s="2">
        <v>25.96</v>
      </c>
    </row>
    <row r="2933" spans="1:7" x14ac:dyDescent="0.25">
      <c r="A29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250210-MOR003</v>
      </c>
      <c r="B2933" s="1" t="str">
        <f>TEXT(Coffee_sales_clean[[#This Row],[Transaction Date]],"dddd")</f>
        <v>Monday</v>
      </c>
      <c r="C2933" s="12">
        <v>45698</v>
      </c>
      <c r="D2933" s="4">
        <v>0.35065265046296296</v>
      </c>
      <c r="E29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33" t="s">
        <v>2</v>
      </c>
      <c r="G2933" s="2">
        <v>25.96</v>
      </c>
    </row>
    <row r="2934" spans="1:7" x14ac:dyDescent="0.25">
      <c r="A29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250210-LUN001</v>
      </c>
      <c r="B2934" s="1" t="str">
        <f>TEXT(Coffee_sales_clean[[#This Row],[Transaction Date]],"dddd")</f>
        <v>Monday</v>
      </c>
      <c r="C2934" s="12">
        <v>45698</v>
      </c>
      <c r="D2934" s="4">
        <v>0.46647013888888889</v>
      </c>
      <c r="E29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34" t="s">
        <v>3</v>
      </c>
      <c r="G2934" s="2">
        <v>30.86</v>
      </c>
    </row>
    <row r="2935" spans="1:7" x14ac:dyDescent="0.25">
      <c r="A29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250210-LUN002</v>
      </c>
      <c r="B2935" s="1" t="str">
        <f>TEXT(Coffee_sales_clean[[#This Row],[Transaction Date]],"dddd")</f>
        <v>Monday</v>
      </c>
      <c r="C2935" s="12">
        <v>45698</v>
      </c>
      <c r="D2935" s="4">
        <v>0.54780280092592593</v>
      </c>
      <c r="E29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35" t="s">
        <v>2</v>
      </c>
      <c r="G2935" s="2">
        <v>25.96</v>
      </c>
    </row>
    <row r="2936" spans="1:7" x14ac:dyDescent="0.25">
      <c r="A29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250210-LUN003</v>
      </c>
      <c r="B2936" s="1" t="str">
        <f>TEXT(Coffee_sales_clean[[#This Row],[Transaction Date]],"dddd")</f>
        <v>Monday</v>
      </c>
      <c r="C2936" s="12">
        <v>45698</v>
      </c>
      <c r="D2936" s="4">
        <v>0.54937472222222217</v>
      </c>
      <c r="E29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36" t="s">
        <v>4</v>
      </c>
      <c r="G2936" s="2">
        <v>35.76</v>
      </c>
    </row>
    <row r="2937" spans="1:7" x14ac:dyDescent="0.25">
      <c r="A29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250210-LUN004</v>
      </c>
      <c r="B2937" s="1" t="str">
        <f>TEXT(Coffee_sales_clean[[#This Row],[Transaction Date]],"dddd")</f>
        <v>Monday</v>
      </c>
      <c r="C2937" s="12">
        <v>45698</v>
      </c>
      <c r="D2937" s="4">
        <v>0.5603549884259259</v>
      </c>
      <c r="E29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37" t="s">
        <v>3</v>
      </c>
      <c r="G2937" s="2">
        <v>30.86</v>
      </c>
    </row>
    <row r="2938" spans="1:7" x14ac:dyDescent="0.25">
      <c r="A29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250210-LUN005</v>
      </c>
      <c r="B2938" s="1" t="str">
        <f>TEXT(Coffee_sales_clean[[#This Row],[Transaction Date]],"dddd")</f>
        <v>Monday</v>
      </c>
      <c r="C2938" s="12">
        <v>45698</v>
      </c>
      <c r="D2938" s="4">
        <v>0.56959871527777772</v>
      </c>
      <c r="E29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38" t="s">
        <v>2</v>
      </c>
      <c r="G2938" s="2">
        <v>25.96</v>
      </c>
    </row>
    <row r="2939" spans="1:7" x14ac:dyDescent="0.25">
      <c r="A29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250210-AFT001</v>
      </c>
      <c r="B2939" s="1" t="str">
        <f>TEXT(Coffee_sales_clean[[#This Row],[Transaction Date]],"dddd")</f>
        <v>Monday</v>
      </c>
      <c r="C2939" s="12">
        <v>45698</v>
      </c>
      <c r="D2939" s="4">
        <v>0.58463008101851854</v>
      </c>
      <c r="E29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39" t="s">
        <v>0</v>
      </c>
      <c r="G2939" s="2">
        <v>35.76</v>
      </c>
    </row>
    <row r="2940" spans="1:7" x14ac:dyDescent="0.25">
      <c r="A29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250210-AFT002</v>
      </c>
      <c r="B2940" s="1" t="str">
        <f>TEXT(Coffee_sales_clean[[#This Row],[Transaction Date]],"dddd")</f>
        <v>Monday</v>
      </c>
      <c r="C2940" s="12">
        <v>45698</v>
      </c>
      <c r="D2940" s="4">
        <v>0.58867312500000002</v>
      </c>
      <c r="E29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40" t="s">
        <v>2</v>
      </c>
      <c r="G2940" s="2">
        <v>25.96</v>
      </c>
    </row>
    <row r="2941" spans="1:7" x14ac:dyDescent="0.25">
      <c r="A29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250210-AFT003</v>
      </c>
      <c r="B2941" s="1" t="str">
        <f>TEXT(Coffee_sales_clean[[#This Row],[Transaction Date]],"dddd")</f>
        <v>Monday</v>
      </c>
      <c r="C2941" s="12">
        <v>45698</v>
      </c>
      <c r="D2941" s="4">
        <v>0.59151002314814816</v>
      </c>
      <c r="E29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41" t="s">
        <v>4</v>
      </c>
      <c r="G2941" s="2">
        <v>35.76</v>
      </c>
    </row>
    <row r="2942" spans="1:7" x14ac:dyDescent="0.25">
      <c r="A29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250210-AFT004</v>
      </c>
      <c r="B2942" s="1" t="str">
        <f>TEXT(Coffee_sales_clean[[#This Row],[Transaction Date]],"dddd")</f>
        <v>Monday</v>
      </c>
      <c r="C2942" s="12">
        <v>45698</v>
      </c>
      <c r="D2942" s="4">
        <v>0.59426599537037039</v>
      </c>
      <c r="E29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42" t="s">
        <v>4</v>
      </c>
      <c r="G2942" s="2">
        <v>35.76</v>
      </c>
    </row>
    <row r="2943" spans="1:7" x14ac:dyDescent="0.25">
      <c r="A29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250210-AFT005</v>
      </c>
      <c r="B2943" s="1" t="str">
        <f>TEXT(Coffee_sales_clean[[#This Row],[Transaction Date]],"dddd")</f>
        <v>Monday</v>
      </c>
      <c r="C2943" s="12">
        <v>45698</v>
      </c>
      <c r="D2943" s="4">
        <v>0.62633043981481484</v>
      </c>
      <c r="E29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43" t="s">
        <v>7</v>
      </c>
      <c r="G2943" s="2">
        <v>35.76</v>
      </c>
    </row>
    <row r="2944" spans="1:7" x14ac:dyDescent="0.25">
      <c r="A29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250210-AFT006</v>
      </c>
      <c r="B2944" s="1" t="str">
        <f>TEXT(Coffee_sales_clean[[#This Row],[Transaction Date]],"dddd")</f>
        <v>Monday</v>
      </c>
      <c r="C2944" s="12">
        <v>45698</v>
      </c>
      <c r="D2944" s="4">
        <v>0.63473582175925924</v>
      </c>
      <c r="E29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44" t="s">
        <v>3</v>
      </c>
      <c r="G2944" s="2">
        <v>30.86</v>
      </c>
    </row>
    <row r="2945" spans="1:7" x14ac:dyDescent="0.25">
      <c r="A29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250210-AFT007</v>
      </c>
      <c r="B2945" s="1" t="str">
        <f>TEXT(Coffee_sales_clean[[#This Row],[Transaction Date]],"dddd")</f>
        <v>Monday</v>
      </c>
      <c r="C2945" s="12">
        <v>45698</v>
      </c>
      <c r="D2945" s="4">
        <v>0.65697496527777777</v>
      </c>
      <c r="E29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45" t="s">
        <v>0</v>
      </c>
      <c r="G2945" s="2">
        <v>35.76</v>
      </c>
    </row>
    <row r="2946" spans="1:7" x14ac:dyDescent="0.25">
      <c r="A29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250210-AFT008</v>
      </c>
      <c r="B2946" s="1" t="str">
        <f>TEXT(Coffee_sales_clean[[#This Row],[Transaction Date]],"dddd")</f>
        <v>Monday</v>
      </c>
      <c r="C2946" s="12">
        <v>45698</v>
      </c>
      <c r="D2946" s="4">
        <v>0.65814916666666667</v>
      </c>
      <c r="E29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46" t="s">
        <v>1</v>
      </c>
      <c r="G2946" s="2">
        <v>35.76</v>
      </c>
    </row>
    <row r="2947" spans="1:7" x14ac:dyDescent="0.25">
      <c r="A29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250210-AFT009</v>
      </c>
      <c r="B2947" s="1" t="str">
        <f>TEXT(Coffee_sales_clean[[#This Row],[Transaction Date]],"dddd")</f>
        <v>Monday</v>
      </c>
      <c r="C2947" s="12">
        <v>45698</v>
      </c>
      <c r="D2947" s="4">
        <v>0.68119267361111113</v>
      </c>
      <c r="E29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47" t="s">
        <v>4</v>
      </c>
      <c r="G2947" s="2">
        <v>35.76</v>
      </c>
    </row>
    <row r="2948" spans="1:7" x14ac:dyDescent="0.25">
      <c r="A29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250210-EVE001</v>
      </c>
      <c r="B2948" s="1" t="str">
        <f>TEXT(Coffee_sales_clean[[#This Row],[Transaction Date]],"dddd")</f>
        <v>Monday</v>
      </c>
      <c r="C2948" s="12">
        <v>45698</v>
      </c>
      <c r="D2948" s="4">
        <v>0.7166939351851852</v>
      </c>
      <c r="E29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48" t="s">
        <v>2</v>
      </c>
      <c r="G2948" s="2">
        <v>25.96</v>
      </c>
    </row>
    <row r="2949" spans="1:7" x14ac:dyDescent="0.25">
      <c r="A29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250210-EVE002</v>
      </c>
      <c r="B2949" s="1" t="str">
        <f>TEXT(Coffee_sales_clean[[#This Row],[Transaction Date]],"dddd")</f>
        <v>Monday</v>
      </c>
      <c r="C2949" s="12">
        <v>45698</v>
      </c>
      <c r="D2949" s="4">
        <v>0.76891894675925931</v>
      </c>
      <c r="E29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49" t="s">
        <v>3</v>
      </c>
      <c r="G2949" s="2">
        <v>30.86</v>
      </c>
    </row>
    <row r="2950" spans="1:7" x14ac:dyDescent="0.25">
      <c r="A29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250210-EVE003</v>
      </c>
      <c r="B2950" s="1" t="str">
        <f>TEXT(Coffee_sales_clean[[#This Row],[Transaction Date]],"dddd")</f>
        <v>Monday</v>
      </c>
      <c r="C2950" s="12">
        <v>45698</v>
      </c>
      <c r="D2950" s="4">
        <v>0.80140579861111116</v>
      </c>
      <c r="E29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50" t="s">
        <v>0</v>
      </c>
      <c r="G2950" s="2">
        <v>35.76</v>
      </c>
    </row>
    <row r="2951" spans="1:7" x14ac:dyDescent="0.25">
      <c r="A29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250210-EVE004</v>
      </c>
      <c r="B2951" s="1" t="str">
        <f>TEXT(Coffee_sales_clean[[#This Row],[Transaction Date]],"dddd")</f>
        <v>Monday</v>
      </c>
      <c r="C2951" s="12">
        <v>45698</v>
      </c>
      <c r="D2951" s="4">
        <v>0.80200840277777774</v>
      </c>
      <c r="E29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51" t="s">
        <v>0</v>
      </c>
      <c r="G2951" s="2">
        <v>35.76</v>
      </c>
    </row>
    <row r="2952" spans="1:7" x14ac:dyDescent="0.25">
      <c r="A29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250211-MOR001</v>
      </c>
      <c r="B2952" s="1" t="str">
        <f>TEXT(Coffee_sales_clean[[#This Row],[Transaction Date]],"dddd")</f>
        <v>Tuesday</v>
      </c>
      <c r="C2952" s="12">
        <v>45699</v>
      </c>
      <c r="D2952" s="4">
        <v>0.44335688657407407</v>
      </c>
      <c r="E29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52" t="s">
        <v>2</v>
      </c>
      <c r="G2952" s="2">
        <v>25.96</v>
      </c>
    </row>
    <row r="2953" spans="1:7" x14ac:dyDescent="0.25">
      <c r="A29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250211-LUN001</v>
      </c>
      <c r="B2953" s="1" t="str">
        <f>TEXT(Coffee_sales_clean[[#This Row],[Transaction Date]],"dddd")</f>
        <v>Tuesday</v>
      </c>
      <c r="C2953" s="12">
        <v>45699</v>
      </c>
      <c r="D2953" s="4">
        <v>0.47170692129629632</v>
      </c>
      <c r="E29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53" t="s">
        <v>2</v>
      </c>
      <c r="G2953" s="2">
        <v>25.96</v>
      </c>
    </row>
    <row r="2954" spans="1:7" x14ac:dyDescent="0.25">
      <c r="A29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250211-LUN002</v>
      </c>
      <c r="B2954" s="1" t="str">
        <f>TEXT(Coffee_sales_clean[[#This Row],[Transaction Date]],"dddd")</f>
        <v>Tuesday</v>
      </c>
      <c r="C2954" s="12">
        <v>45699</v>
      </c>
      <c r="D2954" s="4">
        <v>0.47236287037037039</v>
      </c>
      <c r="E29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54" t="s">
        <v>3</v>
      </c>
      <c r="G2954" s="2">
        <v>30.86</v>
      </c>
    </row>
    <row r="2955" spans="1:7" x14ac:dyDescent="0.25">
      <c r="A29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250211-LUN003</v>
      </c>
      <c r="B2955" s="1" t="str">
        <f>TEXT(Coffee_sales_clean[[#This Row],[Transaction Date]],"dddd")</f>
        <v>Tuesday</v>
      </c>
      <c r="C2955" s="12">
        <v>45699</v>
      </c>
      <c r="D2955" s="4">
        <v>0.47300928240740742</v>
      </c>
      <c r="E29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55" t="s">
        <v>4</v>
      </c>
      <c r="G2955" s="2">
        <v>35.76</v>
      </c>
    </row>
    <row r="2956" spans="1:7" x14ac:dyDescent="0.25">
      <c r="A29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250211-AFT001</v>
      </c>
      <c r="B2956" s="1" t="str">
        <f>TEXT(Coffee_sales_clean[[#This Row],[Transaction Date]],"dddd")</f>
        <v>Tuesday</v>
      </c>
      <c r="C2956" s="12">
        <v>45699</v>
      </c>
      <c r="D2956" s="4">
        <v>0.66446606481481485</v>
      </c>
      <c r="E29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56" t="s">
        <v>1</v>
      </c>
      <c r="G2956" s="2">
        <v>35.76</v>
      </c>
    </row>
    <row r="2957" spans="1:7" x14ac:dyDescent="0.25">
      <c r="A29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250211-AFT002</v>
      </c>
      <c r="B2957" s="1" t="str">
        <f>TEXT(Coffee_sales_clean[[#This Row],[Transaction Date]],"dddd")</f>
        <v>Tuesday</v>
      </c>
      <c r="C2957" s="12">
        <v>45699</v>
      </c>
      <c r="D2957" s="4">
        <v>0.67301434027777773</v>
      </c>
      <c r="E29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57" t="s">
        <v>3</v>
      </c>
      <c r="G2957" s="2">
        <v>30.86</v>
      </c>
    </row>
    <row r="2958" spans="1:7" x14ac:dyDescent="0.25">
      <c r="A29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250211-AFT003</v>
      </c>
      <c r="B2958" s="1" t="str">
        <f>TEXT(Coffee_sales_clean[[#This Row],[Transaction Date]],"dddd")</f>
        <v>Tuesday</v>
      </c>
      <c r="C2958" s="12">
        <v>45699</v>
      </c>
      <c r="D2958" s="4">
        <v>0.70116892361111116</v>
      </c>
      <c r="E29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58" t="s">
        <v>6</v>
      </c>
      <c r="G2958" s="2">
        <v>21.06</v>
      </c>
    </row>
    <row r="2959" spans="1:7" x14ac:dyDescent="0.25">
      <c r="A29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250211-EVE001</v>
      </c>
      <c r="B2959" s="1" t="str">
        <f>TEXT(Coffee_sales_clean[[#This Row],[Transaction Date]],"dddd")</f>
        <v>Tuesday</v>
      </c>
      <c r="C2959" s="12">
        <v>45699</v>
      </c>
      <c r="D2959" s="4">
        <v>0.7330430555555556</v>
      </c>
      <c r="E29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59" t="s">
        <v>0</v>
      </c>
      <c r="G2959" s="2">
        <v>35.76</v>
      </c>
    </row>
    <row r="2960" spans="1:7" x14ac:dyDescent="0.25">
      <c r="A29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250211-EVE002</v>
      </c>
      <c r="B2960" s="1" t="str">
        <f>TEXT(Coffee_sales_clean[[#This Row],[Transaction Date]],"dddd")</f>
        <v>Tuesday</v>
      </c>
      <c r="C2960" s="12">
        <v>45699</v>
      </c>
      <c r="D2960" s="4">
        <v>0.73382212962962967</v>
      </c>
      <c r="E29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60" t="s">
        <v>3</v>
      </c>
      <c r="G2960" s="2">
        <v>30.86</v>
      </c>
    </row>
    <row r="2961" spans="1:7" x14ac:dyDescent="0.25">
      <c r="A29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250211-EVE003</v>
      </c>
      <c r="B2961" s="1" t="str">
        <f>TEXT(Coffee_sales_clean[[#This Row],[Transaction Date]],"dddd")</f>
        <v>Tuesday</v>
      </c>
      <c r="C2961" s="12">
        <v>45699</v>
      </c>
      <c r="D2961" s="4">
        <v>0.7390346527777778</v>
      </c>
      <c r="E29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61" t="s">
        <v>3</v>
      </c>
      <c r="G2961" s="2">
        <v>30.86</v>
      </c>
    </row>
    <row r="2962" spans="1:7" x14ac:dyDescent="0.25">
      <c r="A29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250211-EVE004</v>
      </c>
      <c r="B2962" s="1" t="str">
        <f>TEXT(Coffee_sales_clean[[#This Row],[Transaction Date]],"dddd")</f>
        <v>Tuesday</v>
      </c>
      <c r="C2962" s="12">
        <v>45699</v>
      </c>
      <c r="D2962" s="4">
        <v>0.74352344907407408</v>
      </c>
      <c r="E29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62" t="s">
        <v>2</v>
      </c>
      <c r="G2962" s="2">
        <v>25.96</v>
      </c>
    </row>
    <row r="2963" spans="1:7" x14ac:dyDescent="0.25">
      <c r="A29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250211-EVE005</v>
      </c>
      <c r="B2963" s="1" t="str">
        <f>TEXT(Coffee_sales_clean[[#This Row],[Transaction Date]],"dddd")</f>
        <v>Tuesday</v>
      </c>
      <c r="C2963" s="12">
        <v>45699</v>
      </c>
      <c r="D2963" s="4">
        <v>0.74627121527777773</v>
      </c>
      <c r="E29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63" t="s">
        <v>3</v>
      </c>
      <c r="G2963" s="2">
        <v>30.86</v>
      </c>
    </row>
    <row r="2964" spans="1:7" x14ac:dyDescent="0.25">
      <c r="A29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250211-EVE006</v>
      </c>
      <c r="B2964" s="1" t="str">
        <f>TEXT(Coffee_sales_clean[[#This Row],[Transaction Date]],"dddd")</f>
        <v>Tuesday</v>
      </c>
      <c r="C2964" s="12">
        <v>45699</v>
      </c>
      <c r="D2964" s="4">
        <v>0.79457218750000003</v>
      </c>
      <c r="E29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64" t="s">
        <v>0</v>
      </c>
      <c r="G2964" s="2">
        <v>35.76</v>
      </c>
    </row>
    <row r="2965" spans="1:7" x14ac:dyDescent="0.25">
      <c r="A29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250211-EVE007</v>
      </c>
      <c r="B2965" s="1" t="str">
        <f>TEXT(Coffee_sales_clean[[#This Row],[Transaction Date]],"dddd")</f>
        <v>Tuesday</v>
      </c>
      <c r="C2965" s="12">
        <v>45699</v>
      </c>
      <c r="D2965" s="4">
        <v>0.79518321759259258</v>
      </c>
      <c r="E29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65" t="s">
        <v>4</v>
      </c>
      <c r="G2965" s="2">
        <v>35.76</v>
      </c>
    </row>
    <row r="2966" spans="1:7" x14ac:dyDescent="0.25">
      <c r="A29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250212-MOR001</v>
      </c>
      <c r="B2966" s="1" t="str">
        <f>TEXT(Coffee_sales_clean[[#This Row],[Transaction Date]],"dddd")</f>
        <v>Wednesday</v>
      </c>
      <c r="C2966" s="12">
        <v>45700</v>
      </c>
      <c r="D2966" s="4">
        <v>0.30343939814814813</v>
      </c>
      <c r="E29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66" t="s">
        <v>7</v>
      </c>
      <c r="G2966" s="2">
        <v>35.76</v>
      </c>
    </row>
    <row r="2967" spans="1:7" x14ac:dyDescent="0.25">
      <c r="A29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250212-MOR002</v>
      </c>
      <c r="B2967" s="1" t="str">
        <f>TEXT(Coffee_sales_clean[[#This Row],[Transaction Date]],"dddd")</f>
        <v>Wednesday</v>
      </c>
      <c r="C2967" s="12">
        <v>45700</v>
      </c>
      <c r="D2967" s="4">
        <v>0.31640684027777777</v>
      </c>
      <c r="E29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67" t="s">
        <v>2</v>
      </c>
      <c r="G2967" s="2">
        <v>25.96</v>
      </c>
    </row>
    <row r="2968" spans="1:7" x14ac:dyDescent="0.25">
      <c r="A29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250212-MOR003</v>
      </c>
      <c r="B2968" s="1" t="str">
        <f>TEXT(Coffee_sales_clean[[#This Row],[Transaction Date]],"dddd")</f>
        <v>Wednesday</v>
      </c>
      <c r="C2968" s="12">
        <v>45700</v>
      </c>
      <c r="D2968" s="4">
        <v>0.37124719907407405</v>
      </c>
      <c r="E29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68" t="s">
        <v>4</v>
      </c>
      <c r="G2968" s="2">
        <v>35.76</v>
      </c>
    </row>
    <row r="2969" spans="1:7" x14ac:dyDescent="0.25">
      <c r="A29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250212-MOR004</v>
      </c>
      <c r="B2969" s="1" t="str">
        <f>TEXT(Coffee_sales_clean[[#This Row],[Transaction Date]],"dddd")</f>
        <v>Wednesday</v>
      </c>
      <c r="C2969" s="12">
        <v>45700</v>
      </c>
      <c r="D2969" s="4">
        <v>0.38872569444444444</v>
      </c>
      <c r="E29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69" t="s">
        <v>3</v>
      </c>
      <c r="G2969" s="2">
        <v>30.86</v>
      </c>
    </row>
    <row r="2970" spans="1:7" x14ac:dyDescent="0.25">
      <c r="A29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250212-MOR005</v>
      </c>
      <c r="B2970" s="1" t="str">
        <f>TEXT(Coffee_sales_clean[[#This Row],[Transaction Date]],"dddd")</f>
        <v>Wednesday</v>
      </c>
      <c r="C2970" s="12">
        <v>45700</v>
      </c>
      <c r="D2970" s="4">
        <v>0.4466837384259259</v>
      </c>
      <c r="E29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70" t="s">
        <v>2</v>
      </c>
      <c r="G2970" s="2">
        <v>25.96</v>
      </c>
    </row>
    <row r="2971" spans="1:7" x14ac:dyDescent="0.25">
      <c r="A29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250212-LUN001</v>
      </c>
      <c r="B2971" s="1" t="str">
        <f>TEXT(Coffee_sales_clean[[#This Row],[Transaction Date]],"dddd")</f>
        <v>Wednesday</v>
      </c>
      <c r="C2971" s="12">
        <v>45700</v>
      </c>
      <c r="D2971" s="4">
        <v>0.53019773148148153</v>
      </c>
      <c r="E29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71" t="s">
        <v>2</v>
      </c>
      <c r="G2971" s="2">
        <v>25.96</v>
      </c>
    </row>
    <row r="2972" spans="1:7" x14ac:dyDescent="0.25">
      <c r="A29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250212-LUN002</v>
      </c>
      <c r="B2972" s="1" t="str">
        <f>TEXT(Coffee_sales_clean[[#This Row],[Transaction Date]],"dddd")</f>
        <v>Wednesday</v>
      </c>
      <c r="C2972" s="12">
        <v>45700</v>
      </c>
      <c r="D2972" s="4">
        <v>0.54733015046296296</v>
      </c>
      <c r="E29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72" t="s">
        <v>2</v>
      </c>
      <c r="G2972" s="2">
        <v>25.96</v>
      </c>
    </row>
    <row r="2973" spans="1:7" x14ac:dyDescent="0.25">
      <c r="A29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250212-LUN003</v>
      </c>
      <c r="B2973" s="1" t="str">
        <f>TEXT(Coffee_sales_clean[[#This Row],[Transaction Date]],"dddd")</f>
        <v>Wednesday</v>
      </c>
      <c r="C2973" s="12">
        <v>45700</v>
      </c>
      <c r="D2973" s="4">
        <v>0.57059864583333331</v>
      </c>
      <c r="E29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73" t="s">
        <v>1</v>
      </c>
      <c r="G2973" s="2">
        <v>35.76</v>
      </c>
    </row>
    <row r="2974" spans="1:7" x14ac:dyDescent="0.25">
      <c r="A29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250212-AFT001</v>
      </c>
      <c r="B2974" s="1" t="str">
        <f>TEXT(Coffee_sales_clean[[#This Row],[Transaction Date]],"dddd")</f>
        <v>Wednesday</v>
      </c>
      <c r="C2974" s="12">
        <v>45700</v>
      </c>
      <c r="D2974" s="4">
        <v>0.65375899305555552</v>
      </c>
      <c r="E29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74" t="s">
        <v>1</v>
      </c>
      <c r="G2974" s="2">
        <v>35.76</v>
      </c>
    </row>
    <row r="2975" spans="1:7" x14ac:dyDescent="0.25">
      <c r="A29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250212-AFT002</v>
      </c>
      <c r="B2975" s="1" t="str">
        <f>TEXT(Coffee_sales_clean[[#This Row],[Transaction Date]],"dddd")</f>
        <v>Wednesday</v>
      </c>
      <c r="C2975" s="12">
        <v>45700</v>
      </c>
      <c r="D2975" s="4">
        <v>0.65435850694444442</v>
      </c>
      <c r="E29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75" t="s">
        <v>0</v>
      </c>
      <c r="G2975" s="2">
        <v>35.76</v>
      </c>
    </row>
    <row r="2976" spans="1:7" x14ac:dyDescent="0.25">
      <c r="A29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250212-AFT003</v>
      </c>
      <c r="B2976" s="1" t="str">
        <f>TEXT(Coffee_sales_clean[[#This Row],[Transaction Date]],"dddd")</f>
        <v>Wednesday</v>
      </c>
      <c r="C2976" s="12">
        <v>45700</v>
      </c>
      <c r="D2976" s="4">
        <v>0.65526067129629628</v>
      </c>
      <c r="E29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76" t="s">
        <v>1</v>
      </c>
      <c r="G2976" s="2">
        <v>35.76</v>
      </c>
    </row>
    <row r="2977" spans="1:7" x14ac:dyDescent="0.25">
      <c r="A29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250212-AFT004</v>
      </c>
      <c r="B2977" s="1" t="str">
        <f>TEXT(Coffee_sales_clean[[#This Row],[Transaction Date]],"dddd")</f>
        <v>Wednesday</v>
      </c>
      <c r="C2977" s="12">
        <v>45700</v>
      </c>
      <c r="D2977" s="4">
        <v>0.67567564814814818</v>
      </c>
      <c r="E29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77" t="s">
        <v>2</v>
      </c>
      <c r="G2977" s="2">
        <v>25.96</v>
      </c>
    </row>
    <row r="2978" spans="1:7" x14ac:dyDescent="0.25">
      <c r="A29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250212-AFT005</v>
      </c>
      <c r="B2978" s="1" t="str">
        <f>TEXT(Coffee_sales_clean[[#This Row],[Transaction Date]],"dddd")</f>
        <v>Wednesday</v>
      </c>
      <c r="C2978" s="12">
        <v>45700</v>
      </c>
      <c r="D2978" s="4">
        <v>0.6848209837962963</v>
      </c>
      <c r="E29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78" t="s">
        <v>2</v>
      </c>
      <c r="G2978" s="2">
        <v>25.96</v>
      </c>
    </row>
    <row r="2979" spans="1:7" x14ac:dyDescent="0.25">
      <c r="A29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250212-EVE001</v>
      </c>
      <c r="B2979" s="1" t="str">
        <f>TEXT(Coffee_sales_clean[[#This Row],[Transaction Date]],"dddd")</f>
        <v>Wednesday</v>
      </c>
      <c r="C2979" s="12">
        <v>45700</v>
      </c>
      <c r="D2979" s="4">
        <v>0.71217579861111113</v>
      </c>
      <c r="E29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79" t="s">
        <v>7</v>
      </c>
      <c r="G2979" s="2">
        <v>35.76</v>
      </c>
    </row>
    <row r="2980" spans="1:7" x14ac:dyDescent="0.25">
      <c r="A29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250212-EVE002</v>
      </c>
      <c r="B2980" s="1" t="str">
        <f>TEXT(Coffee_sales_clean[[#This Row],[Transaction Date]],"dddd")</f>
        <v>Wednesday</v>
      </c>
      <c r="C2980" s="12">
        <v>45700</v>
      </c>
      <c r="D2980" s="4">
        <v>0.73809587962962964</v>
      </c>
      <c r="E29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80" t="s">
        <v>2</v>
      </c>
      <c r="G2980" s="2">
        <v>25.96</v>
      </c>
    </row>
    <row r="2981" spans="1:7" x14ac:dyDescent="0.25">
      <c r="A29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250212-LAT001</v>
      </c>
      <c r="B2981" s="1" t="str">
        <f>TEXT(Coffee_sales_clean[[#This Row],[Transaction Date]],"dddd")</f>
        <v>Wednesday</v>
      </c>
      <c r="C2981" s="12">
        <v>45700</v>
      </c>
      <c r="D2981" s="4">
        <v>0.83727708333333328</v>
      </c>
      <c r="E29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981" t="s">
        <v>0</v>
      </c>
      <c r="G2981" s="2">
        <v>35.76</v>
      </c>
    </row>
    <row r="2982" spans="1:7" x14ac:dyDescent="0.25">
      <c r="A29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250212-LAT002</v>
      </c>
      <c r="B2982" s="1" t="str">
        <f>TEXT(Coffee_sales_clean[[#This Row],[Transaction Date]],"dddd")</f>
        <v>Wednesday</v>
      </c>
      <c r="C2982" s="12">
        <v>45700</v>
      </c>
      <c r="D2982" s="4">
        <v>0.84946034722222219</v>
      </c>
      <c r="E29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982" t="s">
        <v>4</v>
      </c>
      <c r="G2982" s="2">
        <v>35.76</v>
      </c>
    </row>
    <row r="2983" spans="1:7" x14ac:dyDescent="0.25">
      <c r="A29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250212-LAT003</v>
      </c>
      <c r="B2983" s="1" t="str">
        <f>TEXT(Coffee_sales_clean[[#This Row],[Transaction Date]],"dddd")</f>
        <v>Wednesday</v>
      </c>
      <c r="C2983" s="12">
        <v>45700</v>
      </c>
      <c r="D2983" s="4">
        <v>0.88685499999999995</v>
      </c>
      <c r="E29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2983" t="s">
        <v>7</v>
      </c>
      <c r="G2983" s="2">
        <v>35.76</v>
      </c>
    </row>
    <row r="2984" spans="1:7" x14ac:dyDescent="0.25">
      <c r="A29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250213-MOR001</v>
      </c>
      <c r="B2984" s="1" t="str">
        <f>TEXT(Coffee_sales_clean[[#This Row],[Transaction Date]],"dddd")</f>
        <v>Thursday</v>
      </c>
      <c r="C2984" s="12">
        <v>45701</v>
      </c>
      <c r="D2984" s="4">
        <v>0.31861003472222221</v>
      </c>
      <c r="E29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84" t="s">
        <v>3</v>
      </c>
      <c r="G2984" s="2">
        <v>30.86</v>
      </c>
    </row>
    <row r="2985" spans="1:7" x14ac:dyDescent="0.25">
      <c r="A29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250213-MOR002</v>
      </c>
      <c r="B2985" s="1" t="str">
        <f>TEXT(Coffee_sales_clean[[#This Row],[Transaction Date]],"dddd")</f>
        <v>Thursday</v>
      </c>
      <c r="C2985" s="12">
        <v>45701</v>
      </c>
      <c r="D2985" s="4">
        <v>0.36524377314814815</v>
      </c>
      <c r="E29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85" t="s">
        <v>2</v>
      </c>
      <c r="G2985" s="2">
        <v>25.96</v>
      </c>
    </row>
    <row r="2986" spans="1:7" x14ac:dyDescent="0.25">
      <c r="A29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250213-MOR003</v>
      </c>
      <c r="B2986" s="1" t="str">
        <f>TEXT(Coffee_sales_clean[[#This Row],[Transaction Date]],"dddd")</f>
        <v>Thursday</v>
      </c>
      <c r="C2986" s="12">
        <v>45701</v>
      </c>
      <c r="D2986" s="4">
        <v>0.38704885416666668</v>
      </c>
      <c r="E29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86" t="s">
        <v>6</v>
      </c>
      <c r="G2986" s="2">
        <v>21.06</v>
      </c>
    </row>
    <row r="2987" spans="1:7" x14ac:dyDescent="0.25">
      <c r="A29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250213-MOR004</v>
      </c>
      <c r="B2987" s="1" t="str">
        <f>TEXT(Coffee_sales_clean[[#This Row],[Transaction Date]],"dddd")</f>
        <v>Thursday</v>
      </c>
      <c r="C2987" s="12">
        <v>45701</v>
      </c>
      <c r="D2987" s="4">
        <v>0.40005937499999999</v>
      </c>
      <c r="E29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87" t="s">
        <v>4</v>
      </c>
      <c r="G2987" s="2">
        <v>35.76</v>
      </c>
    </row>
    <row r="2988" spans="1:7" x14ac:dyDescent="0.25">
      <c r="A29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250213-MOR005</v>
      </c>
      <c r="B2988" s="1" t="str">
        <f>TEXT(Coffee_sales_clean[[#This Row],[Transaction Date]],"dddd")</f>
        <v>Thursday</v>
      </c>
      <c r="C2988" s="12">
        <v>45701</v>
      </c>
      <c r="D2988" s="4">
        <v>0.43718350694444447</v>
      </c>
      <c r="E29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88" t="s">
        <v>3</v>
      </c>
      <c r="G2988" s="2">
        <v>30.86</v>
      </c>
    </row>
    <row r="2989" spans="1:7" x14ac:dyDescent="0.25">
      <c r="A29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250213-MOR006</v>
      </c>
      <c r="B2989" s="1" t="str">
        <f>TEXT(Coffee_sales_clean[[#This Row],[Transaction Date]],"dddd")</f>
        <v>Thursday</v>
      </c>
      <c r="C2989" s="12">
        <v>45701</v>
      </c>
      <c r="D2989" s="4">
        <v>0.45795194444444443</v>
      </c>
      <c r="E29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2989" t="s">
        <v>3</v>
      </c>
      <c r="G2989" s="2">
        <v>30.86</v>
      </c>
    </row>
    <row r="2990" spans="1:7" x14ac:dyDescent="0.25">
      <c r="A29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250213-AFT001</v>
      </c>
      <c r="B2990" s="1" t="str">
        <f>TEXT(Coffee_sales_clean[[#This Row],[Transaction Date]],"dddd")</f>
        <v>Thursday</v>
      </c>
      <c r="C2990" s="12">
        <v>45701</v>
      </c>
      <c r="D2990" s="4">
        <v>0.68795424768518521</v>
      </c>
      <c r="E29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90" t="s">
        <v>2</v>
      </c>
      <c r="G2990" s="2">
        <v>25.96</v>
      </c>
    </row>
    <row r="2991" spans="1:7" x14ac:dyDescent="0.25">
      <c r="A29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250213-AFT002</v>
      </c>
      <c r="B2991" s="1" t="str">
        <f>TEXT(Coffee_sales_clean[[#This Row],[Transaction Date]],"dddd")</f>
        <v>Thursday</v>
      </c>
      <c r="C2991" s="12">
        <v>45701</v>
      </c>
      <c r="D2991" s="4">
        <v>0.6885847453703704</v>
      </c>
      <c r="E29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91" t="s">
        <v>2</v>
      </c>
      <c r="G2991" s="2">
        <v>25.96</v>
      </c>
    </row>
    <row r="2992" spans="1:7" x14ac:dyDescent="0.25">
      <c r="A29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250213-EVE001</v>
      </c>
      <c r="B2992" s="1" t="str">
        <f>TEXT(Coffee_sales_clean[[#This Row],[Transaction Date]],"dddd")</f>
        <v>Thursday</v>
      </c>
      <c r="C2992" s="12">
        <v>45701</v>
      </c>
      <c r="D2992" s="4">
        <v>0.71957905092592589</v>
      </c>
      <c r="E29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92" t="s">
        <v>3</v>
      </c>
      <c r="G2992" s="2">
        <v>30.86</v>
      </c>
    </row>
    <row r="2993" spans="1:7" x14ac:dyDescent="0.25">
      <c r="A29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250213-EVE002</v>
      </c>
      <c r="B2993" s="1" t="str">
        <f>TEXT(Coffee_sales_clean[[#This Row],[Transaction Date]],"dddd")</f>
        <v>Thursday</v>
      </c>
      <c r="C2993" s="12">
        <v>45701</v>
      </c>
      <c r="D2993" s="4">
        <v>0.72037265046296295</v>
      </c>
      <c r="E29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93" t="s">
        <v>3</v>
      </c>
      <c r="G2993" s="2">
        <v>30.86</v>
      </c>
    </row>
    <row r="2994" spans="1:7" x14ac:dyDescent="0.25">
      <c r="A29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250213-EVE003</v>
      </c>
      <c r="B2994" s="1" t="str">
        <f>TEXT(Coffee_sales_clean[[#This Row],[Transaction Date]],"dddd")</f>
        <v>Thursday</v>
      </c>
      <c r="C2994" s="12">
        <v>45701</v>
      </c>
      <c r="D2994" s="4">
        <v>0.75110479166666666</v>
      </c>
      <c r="E29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94" t="s">
        <v>0</v>
      </c>
      <c r="G2994" s="2">
        <v>35.76</v>
      </c>
    </row>
    <row r="2995" spans="1:7" x14ac:dyDescent="0.25">
      <c r="A29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250213-EVE004</v>
      </c>
      <c r="B2995" s="1" t="str">
        <f>TEXT(Coffee_sales_clean[[#This Row],[Transaction Date]],"dddd")</f>
        <v>Thursday</v>
      </c>
      <c r="C2995" s="12">
        <v>45701</v>
      </c>
      <c r="D2995" s="4">
        <v>0.76051562500000003</v>
      </c>
      <c r="E29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95" t="s">
        <v>7</v>
      </c>
      <c r="G2995" s="2">
        <v>35.76</v>
      </c>
    </row>
    <row r="2996" spans="1:7" x14ac:dyDescent="0.25">
      <c r="A29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250213-EVE005</v>
      </c>
      <c r="B2996" s="1" t="str">
        <f>TEXT(Coffee_sales_clean[[#This Row],[Transaction Date]],"dddd")</f>
        <v>Thursday</v>
      </c>
      <c r="C2996" s="12">
        <v>45701</v>
      </c>
      <c r="D2996" s="4">
        <v>0.79618487268518523</v>
      </c>
      <c r="E29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2996" t="s">
        <v>0</v>
      </c>
      <c r="G2996" s="2">
        <v>35.76</v>
      </c>
    </row>
    <row r="2997" spans="1:7" x14ac:dyDescent="0.25">
      <c r="A29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250214-LUN001</v>
      </c>
      <c r="B2997" s="1" t="str">
        <f>TEXT(Coffee_sales_clean[[#This Row],[Transaction Date]],"dddd")</f>
        <v>Friday</v>
      </c>
      <c r="C2997" s="12">
        <v>45702</v>
      </c>
      <c r="D2997" s="4">
        <v>0.48536695601851854</v>
      </c>
      <c r="E29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2997" t="s">
        <v>2</v>
      </c>
      <c r="G2997" s="2">
        <v>25.96</v>
      </c>
    </row>
    <row r="2998" spans="1:7" x14ac:dyDescent="0.25">
      <c r="A29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250214-AFT001</v>
      </c>
      <c r="B2998" s="1" t="str">
        <f>TEXT(Coffee_sales_clean[[#This Row],[Transaction Date]],"dddd")</f>
        <v>Friday</v>
      </c>
      <c r="C2998" s="12">
        <v>45702</v>
      </c>
      <c r="D2998" s="4">
        <v>0.58830246527777774</v>
      </c>
      <c r="E29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98" t="s">
        <v>1</v>
      </c>
      <c r="G2998" s="2">
        <v>35.76</v>
      </c>
    </row>
    <row r="2999" spans="1:7" x14ac:dyDescent="0.25">
      <c r="A29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250214-AFT002</v>
      </c>
      <c r="B2999" s="1" t="str">
        <f>TEXT(Coffee_sales_clean[[#This Row],[Transaction Date]],"dddd")</f>
        <v>Friday</v>
      </c>
      <c r="C2999" s="12">
        <v>45702</v>
      </c>
      <c r="D2999" s="4">
        <v>0.6152755324074074</v>
      </c>
      <c r="E29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2999" t="s">
        <v>2</v>
      </c>
      <c r="G2999" s="2">
        <v>25.96</v>
      </c>
    </row>
    <row r="3000" spans="1:7" x14ac:dyDescent="0.25">
      <c r="A30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250214-AFT003</v>
      </c>
      <c r="B3000" s="1" t="str">
        <f>TEXT(Coffee_sales_clean[[#This Row],[Transaction Date]],"dddd")</f>
        <v>Friday</v>
      </c>
      <c r="C3000" s="12">
        <v>45702</v>
      </c>
      <c r="D3000" s="4">
        <v>0.61579986111111107</v>
      </c>
      <c r="E30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00" t="s">
        <v>6</v>
      </c>
      <c r="G3000" s="2">
        <v>21.06</v>
      </c>
    </row>
    <row r="3001" spans="1:7" x14ac:dyDescent="0.25">
      <c r="A30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250214-AFT004</v>
      </c>
      <c r="B3001" s="1" t="str">
        <f>TEXT(Coffee_sales_clean[[#This Row],[Transaction Date]],"dddd")</f>
        <v>Friday</v>
      </c>
      <c r="C3001" s="12">
        <v>45702</v>
      </c>
      <c r="D3001" s="4">
        <v>0.62375285879629627</v>
      </c>
      <c r="E30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01" t="s">
        <v>3</v>
      </c>
      <c r="G3001" s="2">
        <v>30.86</v>
      </c>
    </row>
    <row r="3002" spans="1:7" x14ac:dyDescent="0.25">
      <c r="A30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250214-AFT005</v>
      </c>
      <c r="B3002" s="1" t="str">
        <f>TEXT(Coffee_sales_clean[[#This Row],[Transaction Date]],"dddd")</f>
        <v>Friday</v>
      </c>
      <c r="C3002" s="12">
        <v>45702</v>
      </c>
      <c r="D3002" s="4">
        <v>0.6251937847222222</v>
      </c>
      <c r="E30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02" t="s">
        <v>7</v>
      </c>
      <c r="G3002" s="2">
        <v>35.76</v>
      </c>
    </row>
    <row r="3003" spans="1:7" x14ac:dyDescent="0.25">
      <c r="A30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250214-AFT006</v>
      </c>
      <c r="B3003" s="1" t="str">
        <f>TEXT(Coffee_sales_clean[[#This Row],[Transaction Date]],"dddd")</f>
        <v>Friday</v>
      </c>
      <c r="C3003" s="12">
        <v>45702</v>
      </c>
      <c r="D3003" s="4">
        <v>0.65047288194444441</v>
      </c>
      <c r="E30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03" t="s">
        <v>7</v>
      </c>
      <c r="G3003" s="2">
        <v>35.76</v>
      </c>
    </row>
    <row r="3004" spans="1:7" x14ac:dyDescent="0.25">
      <c r="A30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250214-AFT007</v>
      </c>
      <c r="B3004" s="1" t="str">
        <f>TEXT(Coffee_sales_clean[[#This Row],[Transaction Date]],"dddd")</f>
        <v>Friday</v>
      </c>
      <c r="C3004" s="12">
        <v>45702</v>
      </c>
      <c r="D3004" s="4">
        <v>0.65193840277777781</v>
      </c>
      <c r="E30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04" t="s">
        <v>0</v>
      </c>
      <c r="G3004" s="2">
        <v>35.76</v>
      </c>
    </row>
    <row r="3005" spans="1:7" x14ac:dyDescent="0.25">
      <c r="A30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250214-AFT008</v>
      </c>
      <c r="B3005" s="1" t="str">
        <f>TEXT(Coffee_sales_clean[[#This Row],[Transaction Date]],"dddd")</f>
        <v>Friday</v>
      </c>
      <c r="C3005" s="12">
        <v>45702</v>
      </c>
      <c r="D3005" s="4">
        <v>0.66245910879629633</v>
      </c>
      <c r="E30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05" t="s">
        <v>1</v>
      </c>
      <c r="G3005" s="2">
        <v>35.76</v>
      </c>
    </row>
    <row r="3006" spans="1:7" x14ac:dyDescent="0.25">
      <c r="A30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250214-AFT009</v>
      </c>
      <c r="B3006" s="1" t="str">
        <f>TEXT(Coffee_sales_clean[[#This Row],[Transaction Date]],"dddd")</f>
        <v>Friday</v>
      </c>
      <c r="C3006" s="12">
        <v>45702</v>
      </c>
      <c r="D3006" s="4">
        <v>0.66316226851851856</v>
      </c>
      <c r="E30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06" t="s">
        <v>7</v>
      </c>
      <c r="G3006" s="2">
        <v>35.76</v>
      </c>
    </row>
    <row r="3007" spans="1:7" x14ac:dyDescent="0.25">
      <c r="A30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250214-EVE001</v>
      </c>
      <c r="B3007" s="1" t="str">
        <f>TEXT(Coffee_sales_clean[[#This Row],[Transaction Date]],"dddd")</f>
        <v>Friday</v>
      </c>
      <c r="C3007" s="12">
        <v>45702</v>
      </c>
      <c r="D3007" s="4">
        <v>0.71060263888888886</v>
      </c>
      <c r="E30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07" t="s">
        <v>2</v>
      </c>
      <c r="G3007" s="2">
        <v>25.96</v>
      </c>
    </row>
    <row r="3008" spans="1:7" x14ac:dyDescent="0.25">
      <c r="A30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250214-EVE002</v>
      </c>
      <c r="B3008" s="1" t="str">
        <f>TEXT(Coffee_sales_clean[[#This Row],[Transaction Date]],"dddd")</f>
        <v>Friday</v>
      </c>
      <c r="C3008" s="12">
        <v>45702</v>
      </c>
      <c r="D3008" s="4">
        <v>0.71145265046296291</v>
      </c>
      <c r="E30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08" t="s">
        <v>4</v>
      </c>
      <c r="G3008" s="2">
        <v>35.76</v>
      </c>
    </row>
    <row r="3009" spans="1:7" x14ac:dyDescent="0.25">
      <c r="A30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250214-EVE003</v>
      </c>
      <c r="B3009" s="1" t="str">
        <f>TEXT(Coffee_sales_clean[[#This Row],[Transaction Date]],"dddd")</f>
        <v>Friday</v>
      </c>
      <c r="C3009" s="12">
        <v>45702</v>
      </c>
      <c r="D3009" s="4">
        <v>0.71467182870370372</v>
      </c>
      <c r="E30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09" t="s">
        <v>6</v>
      </c>
      <c r="G3009" s="2">
        <v>21.06</v>
      </c>
    </row>
    <row r="3010" spans="1:7" x14ac:dyDescent="0.25">
      <c r="A30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250214-EVE004</v>
      </c>
      <c r="B3010" s="1" t="str">
        <f>TEXT(Coffee_sales_clean[[#This Row],[Transaction Date]],"dddd")</f>
        <v>Friday</v>
      </c>
      <c r="C3010" s="12">
        <v>45702</v>
      </c>
      <c r="D3010" s="4">
        <v>0.72598230324074076</v>
      </c>
      <c r="E30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10" t="s">
        <v>3</v>
      </c>
      <c r="G3010" s="2">
        <v>30.86</v>
      </c>
    </row>
    <row r="3011" spans="1:7" x14ac:dyDescent="0.25">
      <c r="A30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250214-LAT001</v>
      </c>
      <c r="B3011" s="1" t="str">
        <f>TEXT(Coffee_sales_clean[[#This Row],[Transaction Date]],"dddd")</f>
        <v>Friday</v>
      </c>
      <c r="C3011" s="12">
        <v>45702</v>
      </c>
      <c r="D3011" s="4">
        <v>0.88784671296296291</v>
      </c>
      <c r="E30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3011" t="s">
        <v>2</v>
      </c>
      <c r="G3011" s="2">
        <v>25.96</v>
      </c>
    </row>
    <row r="3012" spans="1:7" x14ac:dyDescent="0.25">
      <c r="A30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250215-MOR001</v>
      </c>
      <c r="B3012" s="1" t="str">
        <f>TEXT(Coffee_sales_clean[[#This Row],[Transaction Date]],"dddd")</f>
        <v>Saturday</v>
      </c>
      <c r="C3012" s="12">
        <v>45703</v>
      </c>
      <c r="D3012" s="4">
        <v>0.39087881944444447</v>
      </c>
      <c r="E30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12" t="s">
        <v>7</v>
      </c>
      <c r="G3012" s="2">
        <v>35.76</v>
      </c>
    </row>
    <row r="3013" spans="1:7" x14ac:dyDescent="0.25">
      <c r="A30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250215-LUN001</v>
      </c>
      <c r="B3013" s="1" t="str">
        <f>TEXT(Coffee_sales_clean[[#This Row],[Transaction Date]],"dddd")</f>
        <v>Saturday</v>
      </c>
      <c r="C3013" s="12">
        <v>45703</v>
      </c>
      <c r="D3013" s="4">
        <v>0.52909525462962959</v>
      </c>
      <c r="E30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13" t="s">
        <v>7</v>
      </c>
      <c r="G3013" s="2">
        <v>35.76</v>
      </c>
    </row>
    <row r="3014" spans="1:7" x14ac:dyDescent="0.25">
      <c r="A30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250215-LUN002</v>
      </c>
      <c r="B3014" s="1" t="str">
        <f>TEXT(Coffee_sales_clean[[#This Row],[Transaction Date]],"dddd")</f>
        <v>Saturday</v>
      </c>
      <c r="C3014" s="12">
        <v>45703</v>
      </c>
      <c r="D3014" s="4">
        <v>0.53086309027777778</v>
      </c>
      <c r="E30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14" t="s">
        <v>2</v>
      </c>
      <c r="G3014" s="2">
        <v>25.96</v>
      </c>
    </row>
    <row r="3015" spans="1:7" x14ac:dyDescent="0.25">
      <c r="A30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250215-LUN003</v>
      </c>
      <c r="B3015" s="1" t="str">
        <f>TEXT(Coffee_sales_clean[[#This Row],[Transaction Date]],"dddd")</f>
        <v>Saturday</v>
      </c>
      <c r="C3015" s="12">
        <v>45703</v>
      </c>
      <c r="D3015" s="4">
        <v>0.54328549768518519</v>
      </c>
      <c r="E30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15" t="s">
        <v>3</v>
      </c>
      <c r="G3015" s="2">
        <v>30.86</v>
      </c>
    </row>
    <row r="3016" spans="1:7" x14ac:dyDescent="0.25">
      <c r="A30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250215-LUN004</v>
      </c>
      <c r="B3016" s="1" t="str">
        <f>TEXT(Coffee_sales_clean[[#This Row],[Transaction Date]],"dddd")</f>
        <v>Saturday</v>
      </c>
      <c r="C3016" s="12">
        <v>45703</v>
      </c>
      <c r="D3016" s="4">
        <v>0.56395525462962959</v>
      </c>
      <c r="E30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16" t="s">
        <v>3</v>
      </c>
      <c r="G3016" s="2">
        <v>30.86</v>
      </c>
    </row>
    <row r="3017" spans="1:7" x14ac:dyDescent="0.25">
      <c r="A30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250215-AFT001</v>
      </c>
      <c r="B3017" s="1" t="str">
        <f>TEXT(Coffee_sales_clean[[#This Row],[Transaction Date]],"dddd")</f>
        <v>Saturday</v>
      </c>
      <c r="C3017" s="12">
        <v>45703</v>
      </c>
      <c r="D3017" s="4">
        <v>0.58462069444444442</v>
      </c>
      <c r="E30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17" t="s">
        <v>7</v>
      </c>
      <c r="G3017" s="2">
        <v>35.76</v>
      </c>
    </row>
    <row r="3018" spans="1:7" x14ac:dyDescent="0.25">
      <c r="A30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250215-AFT002</v>
      </c>
      <c r="B3018" s="1" t="str">
        <f>TEXT(Coffee_sales_clean[[#This Row],[Transaction Date]],"dddd")</f>
        <v>Saturday</v>
      </c>
      <c r="C3018" s="12">
        <v>45703</v>
      </c>
      <c r="D3018" s="4">
        <v>0.59159631944444446</v>
      </c>
      <c r="E30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18" t="s">
        <v>2</v>
      </c>
      <c r="G3018" s="2">
        <v>25.96</v>
      </c>
    </row>
    <row r="3019" spans="1:7" x14ac:dyDescent="0.25">
      <c r="A30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250215-AFT003</v>
      </c>
      <c r="B3019" s="1" t="str">
        <f>TEXT(Coffee_sales_clean[[#This Row],[Transaction Date]],"dddd")</f>
        <v>Saturday</v>
      </c>
      <c r="C3019" s="12">
        <v>45703</v>
      </c>
      <c r="D3019" s="4">
        <v>0.65286651620370373</v>
      </c>
      <c r="E30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19" t="s">
        <v>1</v>
      </c>
      <c r="G3019" s="2">
        <v>35.76</v>
      </c>
    </row>
    <row r="3020" spans="1:7" x14ac:dyDescent="0.25">
      <c r="A30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250215-AFT004</v>
      </c>
      <c r="B3020" s="1" t="str">
        <f>TEXT(Coffee_sales_clean[[#This Row],[Transaction Date]],"dddd")</f>
        <v>Saturday</v>
      </c>
      <c r="C3020" s="12">
        <v>45703</v>
      </c>
      <c r="D3020" s="4">
        <v>0.65346577546296292</v>
      </c>
      <c r="E30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20" t="s">
        <v>1</v>
      </c>
      <c r="G3020" s="2">
        <v>35.76</v>
      </c>
    </row>
    <row r="3021" spans="1:7" x14ac:dyDescent="0.25">
      <c r="A30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250216-MOR001</v>
      </c>
      <c r="B3021" s="1" t="str">
        <f>TEXT(Coffee_sales_clean[[#This Row],[Transaction Date]],"dddd")</f>
        <v>Sunday</v>
      </c>
      <c r="C3021" s="12">
        <v>45704</v>
      </c>
      <c r="D3021" s="4">
        <v>0.44911137731481482</v>
      </c>
      <c r="E30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21" t="s">
        <v>2</v>
      </c>
      <c r="G3021" s="2">
        <v>25.96</v>
      </c>
    </row>
    <row r="3022" spans="1:7" x14ac:dyDescent="0.25">
      <c r="A30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250216-MOR002</v>
      </c>
      <c r="B3022" s="1" t="str">
        <f>TEXT(Coffee_sales_clean[[#This Row],[Transaction Date]],"dddd")</f>
        <v>Sunday</v>
      </c>
      <c r="C3022" s="12">
        <v>45704</v>
      </c>
      <c r="D3022" s="4">
        <v>0.45139601851851852</v>
      </c>
      <c r="E30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22" t="s">
        <v>2</v>
      </c>
      <c r="G3022" s="2">
        <v>25.96</v>
      </c>
    </row>
    <row r="3023" spans="1:7" x14ac:dyDescent="0.25">
      <c r="A30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250216-MOR003</v>
      </c>
      <c r="B3023" s="1" t="str">
        <f>TEXT(Coffee_sales_clean[[#This Row],[Transaction Date]],"dddd")</f>
        <v>Sunday</v>
      </c>
      <c r="C3023" s="12">
        <v>45704</v>
      </c>
      <c r="D3023" s="4">
        <v>0.4521292476851852</v>
      </c>
      <c r="E30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23" t="s">
        <v>3</v>
      </c>
      <c r="G3023" s="2">
        <v>30.86</v>
      </c>
    </row>
    <row r="3024" spans="1:7" x14ac:dyDescent="0.25">
      <c r="A30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250216-LUN001</v>
      </c>
      <c r="B3024" s="1" t="str">
        <f>TEXT(Coffee_sales_clean[[#This Row],[Transaction Date]],"dddd")</f>
        <v>Sunday</v>
      </c>
      <c r="C3024" s="12">
        <v>45704</v>
      </c>
      <c r="D3024" s="4">
        <v>0.46166543981481484</v>
      </c>
      <c r="E30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24" t="s">
        <v>1</v>
      </c>
      <c r="G3024" s="2">
        <v>35.76</v>
      </c>
    </row>
    <row r="3025" spans="1:7" x14ac:dyDescent="0.25">
      <c r="A30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250216-LUN002</v>
      </c>
      <c r="B3025" s="1" t="str">
        <f>TEXT(Coffee_sales_clean[[#This Row],[Transaction Date]],"dddd")</f>
        <v>Sunday</v>
      </c>
      <c r="C3025" s="12">
        <v>45704</v>
      </c>
      <c r="D3025" s="4">
        <v>0.48089184027777776</v>
      </c>
      <c r="E30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25" t="s">
        <v>2</v>
      </c>
      <c r="G3025" s="2">
        <v>25.96</v>
      </c>
    </row>
    <row r="3026" spans="1:7" x14ac:dyDescent="0.25">
      <c r="A30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250216-AFT001</v>
      </c>
      <c r="B3026" s="1" t="str">
        <f>TEXT(Coffee_sales_clean[[#This Row],[Transaction Date]],"dddd")</f>
        <v>Sunday</v>
      </c>
      <c r="C3026" s="12">
        <v>45704</v>
      </c>
      <c r="D3026" s="4">
        <v>0.59417880787037036</v>
      </c>
      <c r="E30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26" t="s">
        <v>1</v>
      </c>
      <c r="G3026" s="2">
        <v>35.76</v>
      </c>
    </row>
    <row r="3027" spans="1:7" x14ac:dyDescent="0.25">
      <c r="A30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250216-AFT002</v>
      </c>
      <c r="B3027" s="1" t="str">
        <f>TEXT(Coffee_sales_clean[[#This Row],[Transaction Date]],"dddd")</f>
        <v>Sunday</v>
      </c>
      <c r="C3027" s="12">
        <v>45704</v>
      </c>
      <c r="D3027" s="4">
        <v>0.59492041666666662</v>
      </c>
      <c r="E30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27" t="s">
        <v>0</v>
      </c>
      <c r="G3027" s="2">
        <v>35.76</v>
      </c>
    </row>
    <row r="3028" spans="1:7" x14ac:dyDescent="0.25">
      <c r="A30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250216-EVE001</v>
      </c>
      <c r="B3028" s="1" t="str">
        <f>TEXT(Coffee_sales_clean[[#This Row],[Transaction Date]],"dddd")</f>
        <v>Sunday</v>
      </c>
      <c r="C3028" s="12">
        <v>45704</v>
      </c>
      <c r="D3028" s="4">
        <v>0.71698381944444445</v>
      </c>
      <c r="E30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28" t="s">
        <v>1</v>
      </c>
      <c r="G3028" s="2">
        <v>35.76</v>
      </c>
    </row>
    <row r="3029" spans="1:7" x14ac:dyDescent="0.25">
      <c r="A30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250216-EVE002</v>
      </c>
      <c r="B3029" s="1" t="str">
        <f>TEXT(Coffee_sales_clean[[#This Row],[Transaction Date]],"dddd")</f>
        <v>Sunday</v>
      </c>
      <c r="C3029" s="12">
        <v>45704</v>
      </c>
      <c r="D3029" s="4">
        <v>0.71774274305555552</v>
      </c>
      <c r="E30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29" t="s">
        <v>3</v>
      </c>
      <c r="G3029" s="2">
        <v>30.86</v>
      </c>
    </row>
    <row r="3030" spans="1:7" x14ac:dyDescent="0.25">
      <c r="A30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250216-EVE003</v>
      </c>
      <c r="B3030" s="1" t="str">
        <f>TEXT(Coffee_sales_clean[[#This Row],[Transaction Date]],"dddd")</f>
        <v>Sunday</v>
      </c>
      <c r="C3030" s="12">
        <v>45704</v>
      </c>
      <c r="D3030" s="4">
        <v>0.7392682986111111</v>
      </c>
      <c r="E30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30" t="s">
        <v>3</v>
      </c>
      <c r="G3030" s="2">
        <v>30.86</v>
      </c>
    </row>
    <row r="3031" spans="1:7" x14ac:dyDescent="0.25">
      <c r="A30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250217-MOR001</v>
      </c>
      <c r="B3031" s="1" t="str">
        <f>TEXT(Coffee_sales_clean[[#This Row],[Transaction Date]],"dddd")</f>
        <v>Monday</v>
      </c>
      <c r="C3031" s="12">
        <v>45705</v>
      </c>
      <c r="D3031" s="4">
        <v>0.2847737847222222</v>
      </c>
      <c r="E30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31" t="s">
        <v>7</v>
      </c>
      <c r="G3031" s="2">
        <v>35.76</v>
      </c>
    </row>
    <row r="3032" spans="1:7" x14ac:dyDescent="0.25">
      <c r="A30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250217-MOR002</v>
      </c>
      <c r="B3032" s="1" t="str">
        <f>TEXT(Coffee_sales_clean[[#This Row],[Transaction Date]],"dddd")</f>
        <v>Monday</v>
      </c>
      <c r="C3032" s="12">
        <v>45705</v>
      </c>
      <c r="D3032" s="4">
        <v>0.37029870370370371</v>
      </c>
      <c r="E30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32" t="s">
        <v>2</v>
      </c>
      <c r="G3032" s="2">
        <v>25.96</v>
      </c>
    </row>
    <row r="3033" spans="1:7" x14ac:dyDescent="0.25">
      <c r="A30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250217-MOR003</v>
      </c>
      <c r="B3033" s="1" t="str">
        <f>TEXT(Coffee_sales_clean[[#This Row],[Transaction Date]],"dddd")</f>
        <v>Monday</v>
      </c>
      <c r="C3033" s="12">
        <v>45705</v>
      </c>
      <c r="D3033" s="4">
        <v>0.37563827546296297</v>
      </c>
      <c r="E30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33" t="s">
        <v>2</v>
      </c>
      <c r="G3033" s="2">
        <v>25.96</v>
      </c>
    </row>
    <row r="3034" spans="1:7" x14ac:dyDescent="0.25">
      <c r="A30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250217-MOR004</v>
      </c>
      <c r="B3034" s="1" t="str">
        <f>TEXT(Coffee_sales_clean[[#This Row],[Transaction Date]],"dddd")</f>
        <v>Monday</v>
      </c>
      <c r="C3034" s="12">
        <v>45705</v>
      </c>
      <c r="D3034" s="4">
        <v>0.39452062500000001</v>
      </c>
      <c r="E30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34" t="s">
        <v>3</v>
      </c>
      <c r="G3034" s="2">
        <v>30.86</v>
      </c>
    </row>
    <row r="3035" spans="1:7" x14ac:dyDescent="0.25">
      <c r="A30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250217-MOR005</v>
      </c>
      <c r="B3035" s="1" t="str">
        <f>TEXT(Coffee_sales_clean[[#This Row],[Transaction Date]],"dddd")</f>
        <v>Monday</v>
      </c>
      <c r="C3035" s="12">
        <v>45705</v>
      </c>
      <c r="D3035" s="4">
        <v>0.41457421296296298</v>
      </c>
      <c r="E30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35" t="s">
        <v>1</v>
      </c>
      <c r="G3035" s="2">
        <v>35.76</v>
      </c>
    </row>
    <row r="3036" spans="1:7" x14ac:dyDescent="0.25">
      <c r="A30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250217-MOR006</v>
      </c>
      <c r="B3036" s="1" t="str">
        <f>TEXT(Coffee_sales_clean[[#This Row],[Transaction Date]],"dddd")</f>
        <v>Monday</v>
      </c>
      <c r="C3036" s="12">
        <v>45705</v>
      </c>
      <c r="D3036" s="4">
        <v>0.43069519675925927</v>
      </c>
      <c r="E30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36" t="s">
        <v>3</v>
      </c>
      <c r="G3036" s="2">
        <v>30.86</v>
      </c>
    </row>
    <row r="3037" spans="1:7" x14ac:dyDescent="0.25">
      <c r="A30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250217-MOR007</v>
      </c>
      <c r="B3037" s="1" t="str">
        <f>TEXT(Coffee_sales_clean[[#This Row],[Transaction Date]],"dddd")</f>
        <v>Monday</v>
      </c>
      <c r="C3037" s="12">
        <v>45705</v>
      </c>
      <c r="D3037" s="4">
        <v>0.44777783564814816</v>
      </c>
      <c r="E30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37" t="s">
        <v>2</v>
      </c>
      <c r="G3037" s="2">
        <v>25.96</v>
      </c>
    </row>
    <row r="3038" spans="1:7" x14ac:dyDescent="0.25">
      <c r="A30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250217-LUN001</v>
      </c>
      <c r="B3038" s="1" t="str">
        <f>TEXT(Coffee_sales_clean[[#This Row],[Transaction Date]],"dddd")</f>
        <v>Monday</v>
      </c>
      <c r="C3038" s="12">
        <v>45705</v>
      </c>
      <c r="D3038" s="4">
        <v>0.49581725694444445</v>
      </c>
      <c r="E30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38" t="s">
        <v>3</v>
      </c>
      <c r="G3038" s="2">
        <v>30.86</v>
      </c>
    </row>
    <row r="3039" spans="1:7" x14ac:dyDescent="0.25">
      <c r="A30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250217-LUN002</v>
      </c>
      <c r="B3039" s="1" t="str">
        <f>TEXT(Coffee_sales_clean[[#This Row],[Transaction Date]],"dddd")</f>
        <v>Monday</v>
      </c>
      <c r="C3039" s="12">
        <v>45705</v>
      </c>
      <c r="D3039" s="4">
        <v>0.49655327546296296</v>
      </c>
      <c r="E30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39" t="s">
        <v>6</v>
      </c>
      <c r="G3039" s="2">
        <v>21.06</v>
      </c>
    </row>
    <row r="3040" spans="1:7" x14ac:dyDescent="0.25">
      <c r="A30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250217-LUN003</v>
      </c>
      <c r="B3040" s="1" t="str">
        <f>TEXT(Coffee_sales_clean[[#This Row],[Transaction Date]],"dddd")</f>
        <v>Monday</v>
      </c>
      <c r="C3040" s="12">
        <v>45705</v>
      </c>
      <c r="D3040" s="4">
        <v>0.53400834490740745</v>
      </c>
      <c r="E30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40" t="s">
        <v>7</v>
      </c>
      <c r="G3040" s="2">
        <v>35.76</v>
      </c>
    </row>
    <row r="3041" spans="1:7" x14ac:dyDescent="0.25">
      <c r="A30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250217-AFT001</v>
      </c>
      <c r="B3041" s="1" t="str">
        <f>TEXT(Coffee_sales_clean[[#This Row],[Transaction Date]],"dddd")</f>
        <v>Monday</v>
      </c>
      <c r="C3041" s="12">
        <v>45705</v>
      </c>
      <c r="D3041" s="4">
        <v>0.59932760416666664</v>
      </c>
      <c r="E30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41" t="s">
        <v>0</v>
      </c>
      <c r="G3041" s="2">
        <v>35.76</v>
      </c>
    </row>
    <row r="3042" spans="1:7" x14ac:dyDescent="0.25">
      <c r="A30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250217-AFT002</v>
      </c>
      <c r="B3042" s="1" t="str">
        <f>TEXT(Coffee_sales_clean[[#This Row],[Transaction Date]],"dddd")</f>
        <v>Monday</v>
      </c>
      <c r="C3042" s="12">
        <v>45705</v>
      </c>
      <c r="D3042" s="4">
        <v>0.62895482638888889</v>
      </c>
      <c r="E30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42" t="s">
        <v>3</v>
      </c>
      <c r="G3042" s="2">
        <v>30.86</v>
      </c>
    </row>
    <row r="3043" spans="1:7" x14ac:dyDescent="0.25">
      <c r="A30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250217-AFT003</v>
      </c>
      <c r="B3043" s="1" t="str">
        <f>TEXT(Coffee_sales_clean[[#This Row],[Transaction Date]],"dddd")</f>
        <v>Monday</v>
      </c>
      <c r="C3043" s="12">
        <v>45705</v>
      </c>
      <c r="D3043" s="4">
        <v>0.64814313657407407</v>
      </c>
      <c r="E30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43" t="s">
        <v>0</v>
      </c>
      <c r="G3043" s="2">
        <v>35.76</v>
      </c>
    </row>
    <row r="3044" spans="1:7" x14ac:dyDescent="0.25">
      <c r="A30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250217-AFT004</v>
      </c>
      <c r="B3044" s="1" t="str">
        <f>TEXT(Coffee_sales_clean[[#This Row],[Transaction Date]],"dddd")</f>
        <v>Monday</v>
      </c>
      <c r="C3044" s="12">
        <v>45705</v>
      </c>
      <c r="D3044" s="4">
        <v>0.67993516203703708</v>
      </c>
      <c r="E30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44" t="s">
        <v>6</v>
      </c>
      <c r="G3044" s="2">
        <v>21.06</v>
      </c>
    </row>
    <row r="3045" spans="1:7" x14ac:dyDescent="0.25">
      <c r="A30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250217-AFT005</v>
      </c>
      <c r="B3045" s="1" t="str">
        <f>TEXT(Coffee_sales_clean[[#This Row],[Transaction Date]],"dddd")</f>
        <v>Monday</v>
      </c>
      <c r="C3045" s="12">
        <v>45705</v>
      </c>
      <c r="D3045" s="4">
        <v>0.68243056712962968</v>
      </c>
      <c r="E30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45" t="s">
        <v>2</v>
      </c>
      <c r="G3045" s="2">
        <v>25.96</v>
      </c>
    </row>
    <row r="3046" spans="1:7" x14ac:dyDescent="0.25">
      <c r="A30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250217-EVE001</v>
      </c>
      <c r="B3046" s="1" t="str">
        <f>TEXT(Coffee_sales_clean[[#This Row],[Transaction Date]],"dddd")</f>
        <v>Monday</v>
      </c>
      <c r="C3046" s="12">
        <v>45705</v>
      </c>
      <c r="D3046" s="4">
        <v>0.73002443287037033</v>
      </c>
      <c r="E30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46" t="s">
        <v>3</v>
      </c>
      <c r="G3046" s="2">
        <v>30.86</v>
      </c>
    </row>
    <row r="3047" spans="1:7" x14ac:dyDescent="0.25">
      <c r="A30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250217-EVE002</v>
      </c>
      <c r="B3047" s="1" t="str">
        <f>TEXT(Coffee_sales_clean[[#This Row],[Transaction Date]],"dddd")</f>
        <v>Monday</v>
      </c>
      <c r="C3047" s="12">
        <v>45705</v>
      </c>
      <c r="D3047" s="4">
        <v>0.76658145833333335</v>
      </c>
      <c r="E30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47" t="s">
        <v>2</v>
      </c>
      <c r="G3047" s="2">
        <v>25.96</v>
      </c>
    </row>
    <row r="3048" spans="1:7" x14ac:dyDescent="0.25">
      <c r="A30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250217-EVE003</v>
      </c>
      <c r="B3048" s="1" t="str">
        <f>TEXT(Coffee_sales_clean[[#This Row],[Transaction Date]],"dddd")</f>
        <v>Monday</v>
      </c>
      <c r="C3048" s="12">
        <v>45705</v>
      </c>
      <c r="D3048" s="4">
        <v>0.80129442129629624</v>
      </c>
      <c r="E30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48" t="s">
        <v>2</v>
      </c>
      <c r="G3048" s="2">
        <v>25.96</v>
      </c>
    </row>
    <row r="3049" spans="1:7" x14ac:dyDescent="0.25">
      <c r="A30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250217-EVE004</v>
      </c>
      <c r="B3049" s="1" t="str">
        <f>TEXT(Coffee_sales_clean[[#This Row],[Transaction Date]],"dddd")</f>
        <v>Monday</v>
      </c>
      <c r="C3049" s="12">
        <v>45705</v>
      </c>
      <c r="D3049" s="4">
        <v>0.8020934837962963</v>
      </c>
      <c r="E30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49" t="s">
        <v>2</v>
      </c>
      <c r="G3049" s="2">
        <v>25.96</v>
      </c>
    </row>
    <row r="3050" spans="1:7" x14ac:dyDescent="0.25">
      <c r="A30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250217-LAT001</v>
      </c>
      <c r="B3050" s="1" t="str">
        <f>TEXT(Coffee_sales_clean[[#This Row],[Transaction Date]],"dddd")</f>
        <v>Monday</v>
      </c>
      <c r="C3050" s="12">
        <v>45705</v>
      </c>
      <c r="D3050" s="4">
        <v>0.8460358564814815</v>
      </c>
      <c r="E30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3050" t="s">
        <v>0</v>
      </c>
      <c r="G3050" s="2">
        <v>35.76</v>
      </c>
    </row>
    <row r="3051" spans="1:7" x14ac:dyDescent="0.25">
      <c r="A30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250218-MOR001</v>
      </c>
      <c r="B3051" s="1" t="str">
        <f>TEXT(Coffee_sales_clean[[#This Row],[Transaction Date]],"dddd")</f>
        <v>Tuesday</v>
      </c>
      <c r="C3051" s="12">
        <v>45706</v>
      </c>
      <c r="D3051" s="4">
        <v>0.37024008101851852</v>
      </c>
      <c r="E30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51" t="s">
        <v>2</v>
      </c>
      <c r="G3051" s="2">
        <v>25.96</v>
      </c>
    </row>
    <row r="3052" spans="1:7" x14ac:dyDescent="0.25">
      <c r="A30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250218-MOR002</v>
      </c>
      <c r="B3052" s="1" t="str">
        <f>TEXT(Coffee_sales_clean[[#This Row],[Transaction Date]],"dddd")</f>
        <v>Tuesday</v>
      </c>
      <c r="C3052" s="12">
        <v>45706</v>
      </c>
      <c r="D3052" s="4">
        <v>0.37100107638888891</v>
      </c>
      <c r="E30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52" t="s">
        <v>2</v>
      </c>
      <c r="G3052" s="2">
        <v>25.96</v>
      </c>
    </row>
    <row r="3053" spans="1:7" x14ac:dyDescent="0.25">
      <c r="A30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250218-LUN001</v>
      </c>
      <c r="B3053" s="1" t="str">
        <f>TEXT(Coffee_sales_clean[[#This Row],[Transaction Date]],"dddd")</f>
        <v>Tuesday</v>
      </c>
      <c r="C3053" s="12">
        <v>45706</v>
      </c>
      <c r="D3053" s="4">
        <v>0.46360325231481481</v>
      </c>
      <c r="E30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53" t="s">
        <v>2</v>
      </c>
      <c r="G3053" s="2">
        <v>25.96</v>
      </c>
    </row>
    <row r="3054" spans="1:7" x14ac:dyDescent="0.25">
      <c r="A30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250218-LUN002</v>
      </c>
      <c r="B3054" s="1" t="str">
        <f>TEXT(Coffee_sales_clean[[#This Row],[Transaction Date]],"dddd")</f>
        <v>Tuesday</v>
      </c>
      <c r="C3054" s="12">
        <v>45706</v>
      </c>
      <c r="D3054" s="4">
        <v>0.47923791666666665</v>
      </c>
      <c r="E30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54" t="s">
        <v>2</v>
      </c>
      <c r="G3054" s="2">
        <v>25.96</v>
      </c>
    </row>
    <row r="3055" spans="1:7" x14ac:dyDescent="0.25">
      <c r="A30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250218-LUN003</v>
      </c>
      <c r="B3055" s="1" t="str">
        <f>TEXT(Coffee_sales_clean[[#This Row],[Transaction Date]],"dddd")</f>
        <v>Tuesday</v>
      </c>
      <c r="C3055" s="12">
        <v>45706</v>
      </c>
      <c r="D3055" s="4">
        <v>0.48499475694444444</v>
      </c>
      <c r="E30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55" t="s">
        <v>3</v>
      </c>
      <c r="G3055" s="2">
        <v>30.86</v>
      </c>
    </row>
    <row r="3056" spans="1:7" x14ac:dyDescent="0.25">
      <c r="A30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250218-LUN004</v>
      </c>
      <c r="B3056" s="1" t="str">
        <f>TEXT(Coffee_sales_clean[[#This Row],[Transaction Date]],"dddd")</f>
        <v>Tuesday</v>
      </c>
      <c r="C3056" s="12">
        <v>45706</v>
      </c>
      <c r="D3056" s="4">
        <v>0.51072424768518521</v>
      </c>
      <c r="E30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56" t="s">
        <v>3</v>
      </c>
      <c r="G3056" s="2">
        <v>30.86</v>
      </c>
    </row>
    <row r="3057" spans="1:7" x14ac:dyDescent="0.25">
      <c r="A30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250218-LUN005</v>
      </c>
      <c r="B3057" s="1" t="str">
        <f>TEXT(Coffee_sales_clean[[#This Row],[Transaction Date]],"dddd")</f>
        <v>Tuesday</v>
      </c>
      <c r="C3057" s="12">
        <v>45706</v>
      </c>
      <c r="D3057" s="4">
        <v>0.54475982638888887</v>
      </c>
      <c r="E30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57" t="s">
        <v>4</v>
      </c>
      <c r="G3057" s="2">
        <v>35.76</v>
      </c>
    </row>
    <row r="3058" spans="1:7" x14ac:dyDescent="0.25">
      <c r="A30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250218-LUN006</v>
      </c>
      <c r="B3058" s="1" t="str">
        <f>TEXT(Coffee_sales_clean[[#This Row],[Transaction Date]],"dddd")</f>
        <v>Tuesday</v>
      </c>
      <c r="C3058" s="12">
        <v>45706</v>
      </c>
      <c r="D3058" s="4">
        <v>0.55954986111111116</v>
      </c>
      <c r="E30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58" t="s">
        <v>2</v>
      </c>
      <c r="G3058" s="2">
        <v>25.96</v>
      </c>
    </row>
    <row r="3059" spans="1:7" x14ac:dyDescent="0.25">
      <c r="A30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250218-LUN007</v>
      </c>
      <c r="B3059" s="1" t="str">
        <f>TEXT(Coffee_sales_clean[[#This Row],[Transaction Date]],"dddd")</f>
        <v>Tuesday</v>
      </c>
      <c r="C3059" s="12">
        <v>45706</v>
      </c>
      <c r="D3059" s="4">
        <v>0.56047812500000005</v>
      </c>
      <c r="E30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59" t="s">
        <v>3</v>
      </c>
      <c r="G3059" s="2">
        <v>30.86</v>
      </c>
    </row>
    <row r="3060" spans="1:7" x14ac:dyDescent="0.25">
      <c r="A30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250218-EVE001</v>
      </c>
      <c r="B3060" s="1" t="str">
        <f>TEXT(Coffee_sales_clean[[#This Row],[Transaction Date]],"dddd")</f>
        <v>Tuesday</v>
      </c>
      <c r="C3060" s="12">
        <v>45706</v>
      </c>
      <c r="D3060" s="4">
        <v>0.71213018518518523</v>
      </c>
      <c r="E30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60" t="s">
        <v>1</v>
      </c>
      <c r="G3060" s="2">
        <v>35.76</v>
      </c>
    </row>
    <row r="3061" spans="1:7" x14ac:dyDescent="0.25">
      <c r="A30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250218-EVE002</v>
      </c>
      <c r="B3061" s="1" t="str">
        <f>TEXT(Coffee_sales_clean[[#This Row],[Transaction Date]],"dddd")</f>
        <v>Tuesday</v>
      </c>
      <c r="C3061" s="12">
        <v>45706</v>
      </c>
      <c r="D3061" s="4">
        <v>0.71411236111111109</v>
      </c>
      <c r="E30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61" t="s">
        <v>3</v>
      </c>
      <c r="G3061" s="2">
        <v>30.86</v>
      </c>
    </row>
    <row r="3062" spans="1:7" x14ac:dyDescent="0.25">
      <c r="A30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250218-EVE003</v>
      </c>
      <c r="B3062" s="1" t="str">
        <f>TEXT(Coffee_sales_clean[[#This Row],[Transaction Date]],"dddd")</f>
        <v>Tuesday</v>
      </c>
      <c r="C3062" s="12">
        <v>45706</v>
      </c>
      <c r="D3062" s="4">
        <v>0.71478311342592593</v>
      </c>
      <c r="E30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62" t="s">
        <v>6</v>
      </c>
      <c r="G3062" s="2">
        <v>21.06</v>
      </c>
    </row>
    <row r="3063" spans="1:7" x14ac:dyDescent="0.25">
      <c r="A30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250218-EVE004</v>
      </c>
      <c r="B3063" s="1" t="str">
        <f>TEXT(Coffee_sales_clean[[#This Row],[Transaction Date]],"dddd")</f>
        <v>Tuesday</v>
      </c>
      <c r="C3063" s="12">
        <v>45706</v>
      </c>
      <c r="D3063" s="4">
        <v>0.71554246527777776</v>
      </c>
      <c r="E30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63" t="s">
        <v>4</v>
      </c>
      <c r="G3063" s="2">
        <v>35.76</v>
      </c>
    </row>
    <row r="3064" spans="1:7" x14ac:dyDescent="0.25">
      <c r="A30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250218-EVE005</v>
      </c>
      <c r="B3064" s="1" t="str">
        <f>TEXT(Coffee_sales_clean[[#This Row],[Transaction Date]],"dddd")</f>
        <v>Tuesday</v>
      </c>
      <c r="C3064" s="12">
        <v>45706</v>
      </c>
      <c r="D3064" s="4">
        <v>0.71638552083333329</v>
      </c>
      <c r="E30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64" t="s">
        <v>4</v>
      </c>
      <c r="G3064" s="2">
        <v>35.76</v>
      </c>
    </row>
    <row r="3065" spans="1:7" x14ac:dyDescent="0.25">
      <c r="A30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250218-EVE006</v>
      </c>
      <c r="B3065" s="1" t="str">
        <f>TEXT(Coffee_sales_clean[[#This Row],[Transaction Date]],"dddd")</f>
        <v>Tuesday</v>
      </c>
      <c r="C3065" s="12">
        <v>45706</v>
      </c>
      <c r="D3065" s="4">
        <v>0.81698283564814811</v>
      </c>
      <c r="E30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65" t="s">
        <v>4</v>
      </c>
      <c r="G3065" s="2">
        <v>35.76</v>
      </c>
    </row>
    <row r="3066" spans="1:7" x14ac:dyDescent="0.25">
      <c r="A30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250218-LAT001</v>
      </c>
      <c r="B3066" s="1" t="str">
        <f>TEXT(Coffee_sales_clean[[#This Row],[Transaction Date]],"dddd")</f>
        <v>Tuesday</v>
      </c>
      <c r="C3066" s="12">
        <v>45706</v>
      </c>
      <c r="D3066" s="4">
        <v>0.83815041666666668</v>
      </c>
      <c r="E30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3066" t="s">
        <v>4</v>
      </c>
      <c r="G3066" s="2">
        <v>35.76</v>
      </c>
    </row>
    <row r="3067" spans="1:7" x14ac:dyDescent="0.25">
      <c r="A30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250218-LAT002</v>
      </c>
      <c r="B3067" s="1" t="str">
        <f>TEXT(Coffee_sales_clean[[#This Row],[Transaction Date]],"dddd")</f>
        <v>Tuesday</v>
      </c>
      <c r="C3067" s="12">
        <v>45706</v>
      </c>
      <c r="D3067" s="4">
        <v>0.87375693287037037</v>
      </c>
      <c r="E30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3067" t="s">
        <v>1</v>
      </c>
      <c r="G3067" s="2">
        <v>35.76</v>
      </c>
    </row>
    <row r="3068" spans="1:7" x14ac:dyDescent="0.25">
      <c r="A30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250218-LAT003</v>
      </c>
      <c r="B3068" s="1" t="str">
        <f>TEXT(Coffee_sales_clean[[#This Row],[Transaction Date]],"dddd")</f>
        <v>Tuesday</v>
      </c>
      <c r="C3068" s="12">
        <v>45706</v>
      </c>
      <c r="D3068" s="4">
        <v>0.87638459490740739</v>
      </c>
      <c r="E30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3068" t="s">
        <v>3</v>
      </c>
      <c r="G3068" s="2">
        <v>30.86</v>
      </c>
    </row>
    <row r="3069" spans="1:7" x14ac:dyDescent="0.25">
      <c r="A30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250219-MOR001</v>
      </c>
      <c r="B3069" s="1" t="str">
        <f>TEXT(Coffee_sales_clean[[#This Row],[Transaction Date]],"dddd")</f>
        <v>Wednesday</v>
      </c>
      <c r="C3069" s="12">
        <v>45707</v>
      </c>
      <c r="D3069" s="4">
        <v>0.33950174768518521</v>
      </c>
      <c r="E30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69" t="s">
        <v>7</v>
      </c>
      <c r="G3069" s="2">
        <v>35.76</v>
      </c>
    </row>
    <row r="3070" spans="1:7" x14ac:dyDescent="0.25">
      <c r="A30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250219-MOR002</v>
      </c>
      <c r="B3070" s="1" t="str">
        <f>TEXT(Coffee_sales_clean[[#This Row],[Transaction Date]],"dddd")</f>
        <v>Wednesday</v>
      </c>
      <c r="C3070" s="12">
        <v>45707</v>
      </c>
      <c r="D3070" s="4">
        <v>0.34020927083333335</v>
      </c>
      <c r="E30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70" t="s">
        <v>2</v>
      </c>
      <c r="G3070" s="2">
        <v>25.96</v>
      </c>
    </row>
    <row r="3071" spans="1:7" x14ac:dyDescent="0.25">
      <c r="A30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250219-MOR003</v>
      </c>
      <c r="B3071" s="1" t="str">
        <f>TEXT(Coffee_sales_clean[[#This Row],[Transaction Date]],"dddd")</f>
        <v>Wednesday</v>
      </c>
      <c r="C3071" s="12">
        <v>45707</v>
      </c>
      <c r="D3071" s="4">
        <v>0.36635167824074072</v>
      </c>
      <c r="E30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71" t="s">
        <v>2</v>
      </c>
      <c r="G3071" s="2">
        <v>25.96</v>
      </c>
    </row>
    <row r="3072" spans="1:7" x14ac:dyDescent="0.25">
      <c r="A30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250219-MOR004</v>
      </c>
      <c r="B3072" s="1" t="str">
        <f>TEXT(Coffee_sales_clean[[#This Row],[Transaction Date]],"dddd")</f>
        <v>Wednesday</v>
      </c>
      <c r="C3072" s="12">
        <v>45707</v>
      </c>
      <c r="D3072" s="4">
        <v>0.39203677083333333</v>
      </c>
      <c r="E30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72" t="s">
        <v>7</v>
      </c>
      <c r="G3072" s="2">
        <v>35.76</v>
      </c>
    </row>
    <row r="3073" spans="1:7" x14ac:dyDescent="0.25">
      <c r="A30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250219-MOR005</v>
      </c>
      <c r="B3073" s="1" t="str">
        <f>TEXT(Coffee_sales_clean[[#This Row],[Transaction Date]],"dddd")</f>
        <v>Wednesday</v>
      </c>
      <c r="C3073" s="12">
        <v>45707</v>
      </c>
      <c r="D3073" s="4">
        <v>0.42350695601851851</v>
      </c>
      <c r="E30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73" t="s">
        <v>2</v>
      </c>
      <c r="G3073" s="2">
        <v>25.96</v>
      </c>
    </row>
    <row r="3074" spans="1:7" x14ac:dyDescent="0.25">
      <c r="A30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250219-MOR006</v>
      </c>
      <c r="B3074" s="1" t="str">
        <f>TEXT(Coffee_sales_clean[[#This Row],[Transaction Date]],"dddd")</f>
        <v>Wednesday</v>
      </c>
      <c r="C3074" s="12">
        <v>45707</v>
      </c>
      <c r="D3074" s="4">
        <v>0.42987587962962964</v>
      </c>
      <c r="E30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74" t="s">
        <v>1</v>
      </c>
      <c r="G3074" s="2">
        <v>35.76</v>
      </c>
    </row>
    <row r="3075" spans="1:7" x14ac:dyDescent="0.25">
      <c r="A30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250219-MOR007</v>
      </c>
      <c r="B3075" s="1" t="str">
        <f>TEXT(Coffee_sales_clean[[#This Row],[Transaction Date]],"dddd")</f>
        <v>Wednesday</v>
      </c>
      <c r="C3075" s="12">
        <v>45707</v>
      </c>
      <c r="D3075" s="4">
        <v>0.4450415509259259</v>
      </c>
      <c r="E30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75" t="s">
        <v>3</v>
      </c>
      <c r="G3075" s="2">
        <v>30.86</v>
      </c>
    </row>
    <row r="3076" spans="1:7" x14ac:dyDescent="0.25">
      <c r="A30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250219-LUN001</v>
      </c>
      <c r="B3076" s="1" t="str">
        <f>TEXT(Coffee_sales_clean[[#This Row],[Transaction Date]],"dddd")</f>
        <v>Wednesday</v>
      </c>
      <c r="C3076" s="12">
        <v>45707</v>
      </c>
      <c r="D3076" s="4">
        <v>0.53132027777777779</v>
      </c>
      <c r="E30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76" t="s">
        <v>2</v>
      </c>
      <c r="G3076" s="2">
        <v>25.96</v>
      </c>
    </row>
    <row r="3077" spans="1:7" x14ac:dyDescent="0.25">
      <c r="A30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250219-LUN002</v>
      </c>
      <c r="B3077" s="1" t="str">
        <f>TEXT(Coffee_sales_clean[[#This Row],[Transaction Date]],"dddd")</f>
        <v>Wednesday</v>
      </c>
      <c r="C3077" s="12">
        <v>45707</v>
      </c>
      <c r="D3077" s="4">
        <v>0.53199032407407409</v>
      </c>
      <c r="E30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77" t="s">
        <v>4</v>
      </c>
      <c r="G3077" s="2">
        <v>35.76</v>
      </c>
    </row>
    <row r="3078" spans="1:7" x14ac:dyDescent="0.25">
      <c r="A30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250219-LUN003</v>
      </c>
      <c r="B3078" s="1" t="str">
        <f>TEXT(Coffee_sales_clean[[#This Row],[Transaction Date]],"dddd")</f>
        <v>Wednesday</v>
      </c>
      <c r="C3078" s="12">
        <v>45707</v>
      </c>
      <c r="D3078" s="4">
        <v>0.54646275462962968</v>
      </c>
      <c r="E30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78" t="s">
        <v>2</v>
      </c>
      <c r="G3078" s="2">
        <v>25.96</v>
      </c>
    </row>
    <row r="3079" spans="1:7" x14ac:dyDescent="0.25">
      <c r="A30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250219-AFT001</v>
      </c>
      <c r="B3079" s="1" t="str">
        <f>TEXT(Coffee_sales_clean[[#This Row],[Transaction Date]],"dddd")</f>
        <v>Wednesday</v>
      </c>
      <c r="C3079" s="12">
        <v>45707</v>
      </c>
      <c r="D3079" s="4">
        <v>0.66021776620370365</v>
      </c>
      <c r="E30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79" t="s">
        <v>7</v>
      </c>
      <c r="G3079" s="2">
        <v>35.76</v>
      </c>
    </row>
    <row r="3080" spans="1:7" x14ac:dyDescent="0.25">
      <c r="A30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250219-EVE001</v>
      </c>
      <c r="B3080" s="1" t="str">
        <f>TEXT(Coffee_sales_clean[[#This Row],[Transaction Date]],"dddd")</f>
        <v>Wednesday</v>
      </c>
      <c r="C3080" s="12">
        <v>45707</v>
      </c>
      <c r="D3080" s="4">
        <v>0.71111409722222219</v>
      </c>
      <c r="E30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80" t="s">
        <v>2</v>
      </c>
      <c r="G3080" s="2">
        <v>25.96</v>
      </c>
    </row>
    <row r="3081" spans="1:7" x14ac:dyDescent="0.25">
      <c r="A30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250219-EVE002</v>
      </c>
      <c r="B3081" s="1" t="str">
        <f>TEXT(Coffee_sales_clean[[#This Row],[Transaction Date]],"dddd")</f>
        <v>Wednesday</v>
      </c>
      <c r="C3081" s="12">
        <v>45707</v>
      </c>
      <c r="D3081" s="4">
        <v>0.7325126851851852</v>
      </c>
      <c r="E30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81" t="s">
        <v>7</v>
      </c>
      <c r="G3081" s="2">
        <v>35.76</v>
      </c>
    </row>
    <row r="3082" spans="1:7" x14ac:dyDescent="0.25">
      <c r="A30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250219-EVE003</v>
      </c>
      <c r="B3082" s="1" t="str">
        <f>TEXT(Coffee_sales_clean[[#This Row],[Transaction Date]],"dddd")</f>
        <v>Wednesday</v>
      </c>
      <c r="C3082" s="12">
        <v>45707</v>
      </c>
      <c r="D3082" s="4">
        <v>0.74851892361111116</v>
      </c>
      <c r="E30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82" t="s">
        <v>3</v>
      </c>
      <c r="G3082" s="2">
        <v>30.86</v>
      </c>
    </row>
    <row r="3083" spans="1:7" x14ac:dyDescent="0.25">
      <c r="A30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250219-EVE004</v>
      </c>
      <c r="B3083" s="1" t="str">
        <f>TEXT(Coffee_sales_clean[[#This Row],[Transaction Date]],"dddd")</f>
        <v>Wednesday</v>
      </c>
      <c r="C3083" s="12">
        <v>45707</v>
      </c>
      <c r="D3083" s="4">
        <v>0.77475494212962959</v>
      </c>
      <c r="E30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83" t="s">
        <v>7</v>
      </c>
      <c r="G3083" s="2">
        <v>35.76</v>
      </c>
    </row>
    <row r="3084" spans="1:7" x14ac:dyDescent="0.25">
      <c r="A30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250219-EVE005</v>
      </c>
      <c r="B3084" s="1" t="str">
        <f>TEXT(Coffee_sales_clean[[#This Row],[Transaction Date]],"dddd")</f>
        <v>Wednesday</v>
      </c>
      <c r="C3084" s="12">
        <v>45707</v>
      </c>
      <c r="D3084" s="4">
        <v>0.7927440740740741</v>
      </c>
      <c r="E30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84" t="s">
        <v>0</v>
      </c>
      <c r="G3084" s="2">
        <v>35.76</v>
      </c>
    </row>
    <row r="3085" spans="1:7" x14ac:dyDescent="0.25">
      <c r="A30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250219-EVE006</v>
      </c>
      <c r="B3085" s="1" t="str">
        <f>TEXT(Coffee_sales_clean[[#This Row],[Transaction Date]],"dddd")</f>
        <v>Wednesday</v>
      </c>
      <c r="C3085" s="12">
        <v>45707</v>
      </c>
      <c r="D3085" s="4">
        <v>0.79988414351851855</v>
      </c>
      <c r="E30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85" t="s">
        <v>4</v>
      </c>
      <c r="G3085" s="2">
        <v>35.76</v>
      </c>
    </row>
    <row r="3086" spans="1:7" x14ac:dyDescent="0.25">
      <c r="A30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250219-EVE007</v>
      </c>
      <c r="B3086" s="1" t="str">
        <f>TEXT(Coffee_sales_clean[[#This Row],[Transaction Date]],"dddd")</f>
        <v>Wednesday</v>
      </c>
      <c r="C3086" s="12">
        <v>45707</v>
      </c>
      <c r="D3086" s="4">
        <v>0.80049511574074073</v>
      </c>
      <c r="E30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86" t="s">
        <v>1</v>
      </c>
      <c r="G3086" s="2">
        <v>35.76</v>
      </c>
    </row>
    <row r="3087" spans="1:7" x14ac:dyDescent="0.25">
      <c r="A30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250219-EVE008</v>
      </c>
      <c r="B3087" s="1" t="str">
        <f>TEXT(Coffee_sales_clean[[#This Row],[Transaction Date]],"dddd")</f>
        <v>Wednesday</v>
      </c>
      <c r="C3087" s="12">
        <v>45707</v>
      </c>
      <c r="D3087" s="4">
        <v>0.80998803240740735</v>
      </c>
      <c r="E30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087" t="s">
        <v>0</v>
      </c>
      <c r="G3087" s="2">
        <v>35.76</v>
      </c>
    </row>
    <row r="3088" spans="1:7" x14ac:dyDescent="0.25">
      <c r="A30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250219-LAT001</v>
      </c>
      <c r="B3088" s="1" t="str">
        <f>TEXT(Coffee_sales_clean[[#This Row],[Transaction Date]],"dddd")</f>
        <v>Wednesday</v>
      </c>
      <c r="C3088" s="12">
        <v>45707</v>
      </c>
      <c r="D3088" s="4">
        <v>0.8371339351851852</v>
      </c>
      <c r="E30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3088" t="s">
        <v>4</v>
      </c>
      <c r="G3088" s="2">
        <v>35.76</v>
      </c>
    </row>
    <row r="3089" spans="1:7" x14ac:dyDescent="0.25">
      <c r="A30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250220-MOR001</v>
      </c>
      <c r="B3089" s="1" t="str">
        <f>TEXT(Coffee_sales_clean[[#This Row],[Transaction Date]],"dddd")</f>
        <v>Thursday</v>
      </c>
      <c r="C3089" s="12">
        <v>45708</v>
      </c>
      <c r="D3089" s="4">
        <v>0.33083998842592593</v>
      </c>
      <c r="E30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89" t="s">
        <v>7</v>
      </c>
      <c r="G3089" s="2">
        <v>35.76</v>
      </c>
    </row>
    <row r="3090" spans="1:7" x14ac:dyDescent="0.25">
      <c r="A30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250220-MOR002</v>
      </c>
      <c r="B3090" s="1" t="str">
        <f>TEXT(Coffee_sales_clean[[#This Row],[Transaction Date]],"dddd")</f>
        <v>Thursday</v>
      </c>
      <c r="C3090" s="12">
        <v>45708</v>
      </c>
      <c r="D3090" s="4">
        <v>0.38742258101851851</v>
      </c>
      <c r="E30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90" t="s">
        <v>2</v>
      </c>
      <c r="G3090" s="2">
        <v>25.96</v>
      </c>
    </row>
    <row r="3091" spans="1:7" x14ac:dyDescent="0.25">
      <c r="A30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250220-MOR003</v>
      </c>
      <c r="B3091" s="1" t="str">
        <f>TEXT(Coffee_sales_clean[[#This Row],[Transaction Date]],"dddd")</f>
        <v>Thursday</v>
      </c>
      <c r="C3091" s="12">
        <v>45708</v>
      </c>
      <c r="D3091" s="4">
        <v>0.42824564814814814</v>
      </c>
      <c r="E30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91" t="s">
        <v>7</v>
      </c>
      <c r="G3091" s="2">
        <v>35.76</v>
      </c>
    </row>
    <row r="3092" spans="1:7" x14ac:dyDescent="0.25">
      <c r="A30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250220-MOR004</v>
      </c>
      <c r="B3092" s="1" t="str">
        <f>TEXT(Coffee_sales_clean[[#This Row],[Transaction Date]],"dddd")</f>
        <v>Thursday</v>
      </c>
      <c r="C3092" s="12">
        <v>45708</v>
      </c>
      <c r="D3092" s="4">
        <v>0.42891980324074075</v>
      </c>
      <c r="E30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92" t="s">
        <v>2</v>
      </c>
      <c r="G3092" s="2">
        <v>25.96</v>
      </c>
    </row>
    <row r="3093" spans="1:7" x14ac:dyDescent="0.25">
      <c r="A30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250220-MOR005</v>
      </c>
      <c r="B3093" s="1" t="str">
        <f>TEXT(Coffee_sales_clean[[#This Row],[Transaction Date]],"dddd")</f>
        <v>Thursday</v>
      </c>
      <c r="C3093" s="12">
        <v>45708</v>
      </c>
      <c r="D3093" s="4">
        <v>0.43084428240740741</v>
      </c>
      <c r="E30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93" t="s">
        <v>2</v>
      </c>
      <c r="G3093" s="2">
        <v>25.96</v>
      </c>
    </row>
    <row r="3094" spans="1:7" x14ac:dyDescent="0.25">
      <c r="A30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250220-MOR006</v>
      </c>
      <c r="B3094" s="1" t="str">
        <f>TEXT(Coffee_sales_clean[[#This Row],[Transaction Date]],"dddd")</f>
        <v>Thursday</v>
      </c>
      <c r="C3094" s="12">
        <v>45708</v>
      </c>
      <c r="D3094" s="4">
        <v>0.43360586805555557</v>
      </c>
      <c r="E30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094" t="s">
        <v>2</v>
      </c>
      <c r="G3094" s="2">
        <v>25.96</v>
      </c>
    </row>
    <row r="3095" spans="1:7" x14ac:dyDescent="0.25">
      <c r="A30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250220-LUN001</v>
      </c>
      <c r="B3095" s="1" t="str">
        <f>TEXT(Coffee_sales_clean[[#This Row],[Transaction Date]],"dddd")</f>
        <v>Thursday</v>
      </c>
      <c r="C3095" s="12">
        <v>45708</v>
      </c>
      <c r="D3095" s="4">
        <v>0.5432852777777778</v>
      </c>
      <c r="E30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095" t="s">
        <v>3</v>
      </c>
      <c r="G3095" s="2">
        <v>30.86</v>
      </c>
    </row>
    <row r="3096" spans="1:7" x14ac:dyDescent="0.25">
      <c r="A30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250220-AFT001</v>
      </c>
      <c r="B3096" s="1" t="str">
        <f>TEXT(Coffee_sales_clean[[#This Row],[Transaction Date]],"dddd")</f>
        <v>Thursday</v>
      </c>
      <c r="C3096" s="12">
        <v>45708</v>
      </c>
      <c r="D3096" s="4">
        <v>0.59760531250000004</v>
      </c>
      <c r="E30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96" t="s">
        <v>0</v>
      </c>
      <c r="G3096" s="2">
        <v>35.76</v>
      </c>
    </row>
    <row r="3097" spans="1:7" x14ac:dyDescent="0.25">
      <c r="A30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250220-AFT002</v>
      </c>
      <c r="B3097" s="1" t="str">
        <f>TEXT(Coffee_sales_clean[[#This Row],[Transaction Date]],"dddd")</f>
        <v>Thursday</v>
      </c>
      <c r="C3097" s="12">
        <v>45708</v>
      </c>
      <c r="D3097" s="4">
        <v>0.60971968750000005</v>
      </c>
      <c r="E30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97" t="s">
        <v>2</v>
      </c>
      <c r="G3097" s="2">
        <v>25.96</v>
      </c>
    </row>
    <row r="3098" spans="1:7" x14ac:dyDescent="0.25">
      <c r="A30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250220-AFT003</v>
      </c>
      <c r="B3098" s="1" t="str">
        <f>TEXT(Coffee_sales_clean[[#This Row],[Transaction Date]],"dddd")</f>
        <v>Thursday</v>
      </c>
      <c r="C3098" s="12">
        <v>45708</v>
      </c>
      <c r="D3098" s="4">
        <v>0.61029304398148143</v>
      </c>
      <c r="E30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98" t="s">
        <v>2</v>
      </c>
      <c r="G3098" s="2">
        <v>25.96</v>
      </c>
    </row>
    <row r="3099" spans="1:7" x14ac:dyDescent="0.25">
      <c r="A30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250220-AFT004</v>
      </c>
      <c r="B3099" s="1" t="str">
        <f>TEXT(Coffee_sales_clean[[#This Row],[Transaction Date]],"dddd")</f>
        <v>Thursday</v>
      </c>
      <c r="C3099" s="12">
        <v>45708</v>
      </c>
      <c r="D3099" s="4">
        <v>0.63872170138888884</v>
      </c>
      <c r="E30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099" t="s">
        <v>6</v>
      </c>
      <c r="G3099" s="2">
        <v>21.06</v>
      </c>
    </row>
    <row r="3100" spans="1:7" x14ac:dyDescent="0.25">
      <c r="A31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250220-AFT005</v>
      </c>
      <c r="B3100" s="1" t="str">
        <f>TEXT(Coffee_sales_clean[[#This Row],[Transaction Date]],"dddd")</f>
        <v>Thursday</v>
      </c>
      <c r="C3100" s="12">
        <v>45708</v>
      </c>
      <c r="D3100" s="4">
        <v>0.67071196759259255</v>
      </c>
      <c r="E31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00" t="s">
        <v>7</v>
      </c>
      <c r="G3100" s="2">
        <v>35.76</v>
      </c>
    </row>
    <row r="3101" spans="1:7" x14ac:dyDescent="0.25">
      <c r="A31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250220-AFT006</v>
      </c>
      <c r="B3101" s="1" t="str">
        <f>TEXT(Coffee_sales_clean[[#This Row],[Transaction Date]],"dddd")</f>
        <v>Thursday</v>
      </c>
      <c r="C3101" s="12">
        <v>45708</v>
      </c>
      <c r="D3101" s="4">
        <v>0.70771560185185189</v>
      </c>
      <c r="E31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01" t="s">
        <v>7</v>
      </c>
      <c r="G3101" s="2">
        <v>35.76</v>
      </c>
    </row>
    <row r="3102" spans="1:7" x14ac:dyDescent="0.25">
      <c r="A31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250220-EVE001</v>
      </c>
      <c r="B3102" s="1" t="str">
        <f>TEXT(Coffee_sales_clean[[#This Row],[Transaction Date]],"dddd")</f>
        <v>Thursday</v>
      </c>
      <c r="C3102" s="12">
        <v>45708</v>
      </c>
      <c r="D3102" s="4">
        <v>0.70876090277777781</v>
      </c>
      <c r="E31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02" t="s">
        <v>1</v>
      </c>
      <c r="G3102" s="2">
        <v>35.76</v>
      </c>
    </row>
    <row r="3103" spans="1:7" x14ac:dyDescent="0.25">
      <c r="A31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250220-EVE002</v>
      </c>
      <c r="B3103" s="1" t="str">
        <f>TEXT(Coffee_sales_clean[[#This Row],[Transaction Date]],"dddd")</f>
        <v>Thursday</v>
      </c>
      <c r="C3103" s="12">
        <v>45708</v>
      </c>
      <c r="D3103" s="4">
        <v>0.71351835648148143</v>
      </c>
      <c r="E31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03" t="s">
        <v>2</v>
      </c>
      <c r="G3103" s="2">
        <v>25.96</v>
      </c>
    </row>
    <row r="3104" spans="1:7" x14ac:dyDescent="0.25">
      <c r="A31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250220-EVE003</v>
      </c>
      <c r="B3104" s="1" t="str">
        <f>TEXT(Coffee_sales_clean[[#This Row],[Transaction Date]],"dddd")</f>
        <v>Thursday</v>
      </c>
      <c r="C3104" s="12">
        <v>45708</v>
      </c>
      <c r="D3104" s="4">
        <v>0.78998413194444439</v>
      </c>
      <c r="E31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04" t="s">
        <v>2</v>
      </c>
      <c r="G3104" s="2">
        <v>25.96</v>
      </c>
    </row>
    <row r="3105" spans="1:7" x14ac:dyDescent="0.25">
      <c r="A31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250220-EVE004</v>
      </c>
      <c r="B3105" s="1" t="str">
        <f>TEXT(Coffee_sales_clean[[#This Row],[Transaction Date]],"dddd")</f>
        <v>Thursday</v>
      </c>
      <c r="C3105" s="12">
        <v>45708</v>
      </c>
      <c r="D3105" s="4">
        <v>0.79295458333333335</v>
      </c>
      <c r="E31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05" t="s">
        <v>1</v>
      </c>
      <c r="G3105" s="2">
        <v>35.76</v>
      </c>
    </row>
    <row r="3106" spans="1:7" x14ac:dyDescent="0.25">
      <c r="A31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250220-EVE005</v>
      </c>
      <c r="B3106" s="1" t="str">
        <f>TEXT(Coffee_sales_clean[[#This Row],[Transaction Date]],"dddd")</f>
        <v>Thursday</v>
      </c>
      <c r="C3106" s="12">
        <v>45708</v>
      </c>
      <c r="D3106" s="4">
        <v>0.7968237037037037</v>
      </c>
      <c r="E31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06" t="s">
        <v>4</v>
      </c>
      <c r="G3106" s="2">
        <v>35.76</v>
      </c>
    </row>
    <row r="3107" spans="1:7" x14ac:dyDescent="0.25">
      <c r="A31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250220-LAT001</v>
      </c>
      <c r="B3107" s="1" t="str">
        <f>TEXT(Coffee_sales_clean[[#This Row],[Transaction Date]],"dddd")</f>
        <v>Thursday</v>
      </c>
      <c r="C3107" s="12">
        <v>45708</v>
      </c>
      <c r="D3107" s="4">
        <v>0.83823608796296301</v>
      </c>
      <c r="E31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3107" t="s">
        <v>0</v>
      </c>
      <c r="G3107" s="2">
        <v>35.76</v>
      </c>
    </row>
    <row r="3108" spans="1:7" x14ac:dyDescent="0.25">
      <c r="A31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250221-MOR001</v>
      </c>
      <c r="B3108" s="1" t="str">
        <f>TEXT(Coffee_sales_clean[[#This Row],[Transaction Date]],"dddd")</f>
        <v>Friday</v>
      </c>
      <c r="C3108" s="12">
        <v>45709</v>
      </c>
      <c r="D3108" s="4">
        <v>0.29106953703703703</v>
      </c>
      <c r="E31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08" t="s">
        <v>2</v>
      </c>
      <c r="G3108" s="2">
        <v>25.96</v>
      </c>
    </row>
    <row r="3109" spans="1:7" x14ac:dyDescent="0.25">
      <c r="A31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250221-MOR002</v>
      </c>
      <c r="B3109" s="1" t="str">
        <f>TEXT(Coffee_sales_clean[[#This Row],[Transaction Date]],"dddd")</f>
        <v>Friday</v>
      </c>
      <c r="C3109" s="12">
        <v>45709</v>
      </c>
      <c r="D3109" s="4">
        <v>0.40381491898148147</v>
      </c>
      <c r="E31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09" t="s">
        <v>0</v>
      </c>
      <c r="G3109" s="2">
        <v>35.76</v>
      </c>
    </row>
    <row r="3110" spans="1:7" x14ac:dyDescent="0.25">
      <c r="A31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250221-MOR003</v>
      </c>
      <c r="B3110" s="1" t="str">
        <f>TEXT(Coffee_sales_clean[[#This Row],[Transaction Date]],"dddd")</f>
        <v>Friday</v>
      </c>
      <c r="C3110" s="12">
        <v>45709</v>
      </c>
      <c r="D3110" s="4">
        <v>0.40926988425925925</v>
      </c>
      <c r="E31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10" t="s">
        <v>7</v>
      </c>
      <c r="G3110" s="2">
        <v>35.76</v>
      </c>
    </row>
    <row r="3111" spans="1:7" x14ac:dyDescent="0.25">
      <c r="A31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250221-MOR004</v>
      </c>
      <c r="B3111" s="1" t="str">
        <f>TEXT(Coffee_sales_clean[[#This Row],[Transaction Date]],"dddd")</f>
        <v>Friday</v>
      </c>
      <c r="C3111" s="12">
        <v>45709</v>
      </c>
      <c r="D3111" s="4">
        <v>0.41056255787037038</v>
      </c>
      <c r="E31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11" t="s">
        <v>6</v>
      </c>
      <c r="G3111" s="2">
        <v>21.06</v>
      </c>
    </row>
    <row r="3112" spans="1:7" x14ac:dyDescent="0.25">
      <c r="A31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250221-MOR005</v>
      </c>
      <c r="B3112" s="1" t="str">
        <f>TEXT(Coffee_sales_clean[[#This Row],[Transaction Date]],"dddd")</f>
        <v>Friday</v>
      </c>
      <c r="C3112" s="12">
        <v>45709</v>
      </c>
      <c r="D3112" s="4">
        <v>0.42929372685185185</v>
      </c>
      <c r="E31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12" t="s">
        <v>2</v>
      </c>
      <c r="G3112" s="2">
        <v>25.96</v>
      </c>
    </row>
    <row r="3113" spans="1:7" x14ac:dyDescent="0.25">
      <c r="A31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250221-LUN001</v>
      </c>
      <c r="B3113" s="1" t="str">
        <f>TEXT(Coffee_sales_clean[[#This Row],[Transaction Date]],"dddd")</f>
        <v>Friday</v>
      </c>
      <c r="C3113" s="12">
        <v>45709</v>
      </c>
      <c r="D3113" s="4">
        <v>0.46536491898148147</v>
      </c>
      <c r="E31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13" t="s">
        <v>3</v>
      </c>
      <c r="G3113" s="2">
        <v>30.86</v>
      </c>
    </row>
    <row r="3114" spans="1:7" x14ac:dyDescent="0.25">
      <c r="A31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250221-LUN002</v>
      </c>
      <c r="B3114" s="1" t="str">
        <f>TEXT(Coffee_sales_clean[[#This Row],[Transaction Date]],"dddd")</f>
        <v>Friday</v>
      </c>
      <c r="C3114" s="12">
        <v>45709</v>
      </c>
      <c r="D3114" s="4">
        <v>0.50334759259259254</v>
      </c>
      <c r="E31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14" t="s">
        <v>2</v>
      </c>
      <c r="G3114" s="2">
        <v>25.96</v>
      </c>
    </row>
    <row r="3115" spans="1:7" x14ac:dyDescent="0.25">
      <c r="A31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250221-LUN003</v>
      </c>
      <c r="B3115" s="1" t="str">
        <f>TEXT(Coffee_sales_clean[[#This Row],[Transaction Date]],"dddd")</f>
        <v>Friday</v>
      </c>
      <c r="C3115" s="12">
        <v>45709</v>
      </c>
      <c r="D3115" s="4">
        <v>0.50535608796296294</v>
      </c>
      <c r="E31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15" t="s">
        <v>2</v>
      </c>
      <c r="G3115" s="2">
        <v>25.96</v>
      </c>
    </row>
    <row r="3116" spans="1:7" x14ac:dyDescent="0.25">
      <c r="A31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250221-LUN004</v>
      </c>
      <c r="B3116" s="1" t="str">
        <f>TEXT(Coffee_sales_clean[[#This Row],[Transaction Date]],"dddd")</f>
        <v>Friday</v>
      </c>
      <c r="C3116" s="12">
        <v>45709</v>
      </c>
      <c r="D3116" s="4">
        <v>0.53909719907407405</v>
      </c>
      <c r="E31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16" t="s">
        <v>2</v>
      </c>
      <c r="G3116" s="2">
        <v>25.96</v>
      </c>
    </row>
    <row r="3117" spans="1:7" x14ac:dyDescent="0.25">
      <c r="A31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250221-LUN005</v>
      </c>
      <c r="B3117" s="1" t="str">
        <f>TEXT(Coffee_sales_clean[[#This Row],[Transaction Date]],"dddd")</f>
        <v>Friday</v>
      </c>
      <c r="C3117" s="12">
        <v>45709</v>
      </c>
      <c r="D3117" s="4">
        <v>0.53961643518518521</v>
      </c>
      <c r="E31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17" t="s">
        <v>2</v>
      </c>
      <c r="G3117" s="2">
        <v>25.96</v>
      </c>
    </row>
    <row r="3118" spans="1:7" x14ac:dyDescent="0.25">
      <c r="A31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250221-LUN006</v>
      </c>
      <c r="B3118" s="1" t="str">
        <f>TEXT(Coffee_sales_clean[[#This Row],[Transaction Date]],"dddd")</f>
        <v>Friday</v>
      </c>
      <c r="C3118" s="12">
        <v>45709</v>
      </c>
      <c r="D3118" s="4">
        <v>0.54633017361111114</v>
      </c>
      <c r="E31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18" t="s">
        <v>2</v>
      </c>
      <c r="G3118" s="2">
        <v>25.96</v>
      </c>
    </row>
    <row r="3119" spans="1:7" x14ac:dyDescent="0.25">
      <c r="A31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250221-AFT001</v>
      </c>
      <c r="B3119" s="1" t="str">
        <f>TEXT(Coffee_sales_clean[[#This Row],[Transaction Date]],"dddd")</f>
        <v>Friday</v>
      </c>
      <c r="C3119" s="12">
        <v>45709</v>
      </c>
      <c r="D3119" s="4">
        <v>0.5957731828703704</v>
      </c>
      <c r="E31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19" t="s">
        <v>2</v>
      </c>
      <c r="G3119" s="2">
        <v>25.96</v>
      </c>
    </row>
    <row r="3120" spans="1:7" x14ac:dyDescent="0.25">
      <c r="A31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250221-AFT002</v>
      </c>
      <c r="B3120" s="1" t="str">
        <f>TEXT(Coffee_sales_clean[[#This Row],[Transaction Date]],"dddd")</f>
        <v>Friday</v>
      </c>
      <c r="C3120" s="12">
        <v>45709</v>
      </c>
      <c r="D3120" s="4">
        <v>0.63786188657407406</v>
      </c>
      <c r="E31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20" t="s">
        <v>7</v>
      </c>
      <c r="G3120" s="2">
        <v>35.76</v>
      </c>
    </row>
    <row r="3121" spans="1:7" x14ac:dyDescent="0.25">
      <c r="A31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250221-AFT003</v>
      </c>
      <c r="B3121" s="1" t="str">
        <f>TEXT(Coffee_sales_clean[[#This Row],[Transaction Date]],"dddd")</f>
        <v>Friday</v>
      </c>
      <c r="C3121" s="12">
        <v>45709</v>
      </c>
      <c r="D3121" s="4">
        <v>0.6568777199074074</v>
      </c>
      <c r="E31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21" t="s">
        <v>2</v>
      </c>
      <c r="G3121" s="2">
        <v>25.96</v>
      </c>
    </row>
    <row r="3122" spans="1:7" x14ac:dyDescent="0.25">
      <c r="A31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250221-AFT004</v>
      </c>
      <c r="B3122" s="1" t="str">
        <f>TEXT(Coffee_sales_clean[[#This Row],[Transaction Date]],"dddd")</f>
        <v>Friday</v>
      </c>
      <c r="C3122" s="12">
        <v>45709</v>
      </c>
      <c r="D3122" s="4">
        <v>0.65750387731481486</v>
      </c>
      <c r="E31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22" t="s">
        <v>2</v>
      </c>
      <c r="G3122" s="2">
        <v>25.96</v>
      </c>
    </row>
    <row r="3123" spans="1:7" x14ac:dyDescent="0.25">
      <c r="A31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250221-AFT005</v>
      </c>
      <c r="B3123" s="1" t="str">
        <f>TEXT(Coffee_sales_clean[[#This Row],[Transaction Date]],"dddd")</f>
        <v>Friday</v>
      </c>
      <c r="C3123" s="12">
        <v>45709</v>
      </c>
      <c r="D3123" s="4">
        <v>0.66166689814814816</v>
      </c>
      <c r="E31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23" t="s">
        <v>2</v>
      </c>
      <c r="G3123" s="2">
        <v>25.96</v>
      </c>
    </row>
    <row r="3124" spans="1:7" x14ac:dyDescent="0.25">
      <c r="A31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250221-AFT006</v>
      </c>
      <c r="B3124" s="1" t="str">
        <f>TEXT(Coffee_sales_clean[[#This Row],[Transaction Date]],"dddd")</f>
        <v>Friday</v>
      </c>
      <c r="C3124" s="12">
        <v>45709</v>
      </c>
      <c r="D3124" s="4">
        <v>0.67368200231481479</v>
      </c>
      <c r="E31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24" t="s">
        <v>4</v>
      </c>
      <c r="G3124" s="2">
        <v>35.76</v>
      </c>
    </row>
    <row r="3125" spans="1:7" x14ac:dyDescent="0.25">
      <c r="A31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250221-AFT007</v>
      </c>
      <c r="B3125" s="1" t="str">
        <f>TEXT(Coffee_sales_clean[[#This Row],[Transaction Date]],"dddd")</f>
        <v>Friday</v>
      </c>
      <c r="C3125" s="12">
        <v>45709</v>
      </c>
      <c r="D3125" s="4">
        <v>0.6992901967592593</v>
      </c>
      <c r="E31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25" t="s">
        <v>0</v>
      </c>
      <c r="G3125" s="2">
        <v>35.76</v>
      </c>
    </row>
    <row r="3126" spans="1:7" x14ac:dyDescent="0.25">
      <c r="A31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250221-AFT008</v>
      </c>
      <c r="B3126" s="1" t="str">
        <f>TEXT(Coffee_sales_clean[[#This Row],[Transaction Date]],"dddd")</f>
        <v>Friday</v>
      </c>
      <c r="C3126" s="12">
        <v>45709</v>
      </c>
      <c r="D3126" s="4">
        <v>0.70067725694444449</v>
      </c>
      <c r="E31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26" t="s">
        <v>1</v>
      </c>
      <c r="G3126" s="2">
        <v>35.76</v>
      </c>
    </row>
    <row r="3127" spans="1:7" x14ac:dyDescent="0.25">
      <c r="A31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250221-AFT009</v>
      </c>
      <c r="B3127" s="1" t="str">
        <f>TEXT(Coffee_sales_clean[[#This Row],[Transaction Date]],"dddd")</f>
        <v>Friday</v>
      </c>
      <c r="C3127" s="12">
        <v>45709</v>
      </c>
      <c r="D3127" s="4">
        <v>0.70154417824074078</v>
      </c>
      <c r="E31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27" t="s">
        <v>0</v>
      </c>
      <c r="G3127" s="2">
        <v>35.76</v>
      </c>
    </row>
    <row r="3128" spans="1:7" x14ac:dyDescent="0.25">
      <c r="A31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250221-EVE001</v>
      </c>
      <c r="B3128" s="1" t="str">
        <f>TEXT(Coffee_sales_clean[[#This Row],[Transaction Date]],"dddd")</f>
        <v>Friday</v>
      </c>
      <c r="C3128" s="12">
        <v>45709</v>
      </c>
      <c r="D3128" s="4">
        <v>0.79744010416666666</v>
      </c>
      <c r="E31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28" t="s">
        <v>4</v>
      </c>
      <c r="G3128" s="2">
        <v>35.76</v>
      </c>
    </row>
    <row r="3129" spans="1:7" x14ac:dyDescent="0.25">
      <c r="A31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250221-EVE002</v>
      </c>
      <c r="B3129" s="1" t="str">
        <f>TEXT(Coffee_sales_clean[[#This Row],[Transaction Date]],"dddd")</f>
        <v>Friday</v>
      </c>
      <c r="C3129" s="12">
        <v>45709</v>
      </c>
      <c r="D3129" s="4">
        <v>0.79802721064814819</v>
      </c>
      <c r="E31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29" t="s">
        <v>4</v>
      </c>
      <c r="G3129" s="2">
        <v>35.76</v>
      </c>
    </row>
    <row r="3130" spans="1:7" x14ac:dyDescent="0.25">
      <c r="A313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250221-EVE003</v>
      </c>
      <c r="B3130" s="1" t="str">
        <f>TEXT(Coffee_sales_clean[[#This Row],[Transaction Date]],"dddd")</f>
        <v>Friday</v>
      </c>
      <c r="C3130" s="12">
        <v>45709</v>
      </c>
      <c r="D3130" s="4">
        <v>0.83291799768518515</v>
      </c>
      <c r="E313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30" t="s">
        <v>7</v>
      </c>
      <c r="G3130" s="2">
        <v>35.76</v>
      </c>
    </row>
    <row r="3131" spans="1:7" x14ac:dyDescent="0.25">
      <c r="A313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250222-MOR001</v>
      </c>
      <c r="B3131" s="1" t="str">
        <f>TEXT(Coffee_sales_clean[[#This Row],[Transaction Date]],"dddd")</f>
        <v>Saturday</v>
      </c>
      <c r="C3131" s="12">
        <v>45710</v>
      </c>
      <c r="D3131" s="4">
        <v>0.45299400462962963</v>
      </c>
      <c r="E313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31" t="s">
        <v>1</v>
      </c>
      <c r="G3131" s="2">
        <v>35.76</v>
      </c>
    </row>
    <row r="3132" spans="1:7" x14ac:dyDescent="0.25">
      <c r="A313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250222-LUN001</v>
      </c>
      <c r="B3132" s="1" t="str">
        <f>TEXT(Coffee_sales_clean[[#This Row],[Transaction Date]],"dddd")</f>
        <v>Saturday</v>
      </c>
      <c r="C3132" s="12">
        <v>45710</v>
      </c>
      <c r="D3132" s="4">
        <v>0.47813024305555557</v>
      </c>
      <c r="E313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32" t="s">
        <v>2</v>
      </c>
      <c r="G3132" s="2">
        <v>25.96</v>
      </c>
    </row>
    <row r="3133" spans="1:7" x14ac:dyDescent="0.25">
      <c r="A313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250222-LUN002</v>
      </c>
      <c r="B3133" s="1" t="str">
        <f>TEXT(Coffee_sales_clean[[#This Row],[Transaction Date]],"dddd")</f>
        <v>Saturday</v>
      </c>
      <c r="C3133" s="12">
        <v>45710</v>
      </c>
      <c r="D3133" s="4">
        <v>0.48695425925925928</v>
      </c>
      <c r="E313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33" t="s">
        <v>2</v>
      </c>
      <c r="G3133" s="2">
        <v>25.96</v>
      </c>
    </row>
    <row r="3134" spans="1:7" x14ac:dyDescent="0.25">
      <c r="A313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250222-LUN003</v>
      </c>
      <c r="B3134" s="1" t="str">
        <f>TEXT(Coffee_sales_clean[[#This Row],[Transaction Date]],"dddd")</f>
        <v>Saturday</v>
      </c>
      <c r="C3134" s="12">
        <v>45710</v>
      </c>
      <c r="D3134" s="4">
        <v>0.54145663194444449</v>
      </c>
      <c r="E313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34" t="s">
        <v>6</v>
      </c>
      <c r="G3134" s="2">
        <v>21.06</v>
      </c>
    </row>
    <row r="3135" spans="1:7" x14ac:dyDescent="0.25">
      <c r="A313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250222-AFT001</v>
      </c>
      <c r="B3135" s="1" t="str">
        <f>TEXT(Coffee_sales_clean[[#This Row],[Transaction Date]],"dddd")</f>
        <v>Saturday</v>
      </c>
      <c r="C3135" s="12">
        <v>45710</v>
      </c>
      <c r="D3135" s="4">
        <v>0.62712118055555555</v>
      </c>
      <c r="E313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35" t="s">
        <v>3</v>
      </c>
      <c r="G3135" s="2">
        <v>30.86</v>
      </c>
    </row>
    <row r="3136" spans="1:7" x14ac:dyDescent="0.25">
      <c r="A313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250223-MOR001</v>
      </c>
      <c r="B3136" s="1" t="str">
        <f>TEXT(Coffee_sales_clean[[#This Row],[Transaction Date]],"dddd")</f>
        <v>Sunday</v>
      </c>
      <c r="C3136" s="12">
        <v>45711</v>
      </c>
      <c r="D3136" s="4">
        <v>0.43971663194444444</v>
      </c>
      <c r="E313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36" t="s">
        <v>3</v>
      </c>
      <c r="G3136" s="2">
        <v>30.86</v>
      </c>
    </row>
    <row r="3137" spans="1:7" x14ac:dyDescent="0.25">
      <c r="A313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250223-LUN001</v>
      </c>
      <c r="B3137" s="1" t="str">
        <f>TEXT(Coffee_sales_clean[[#This Row],[Transaction Date]],"dddd")</f>
        <v>Sunday</v>
      </c>
      <c r="C3137" s="12">
        <v>45711</v>
      </c>
      <c r="D3137" s="4">
        <v>0.53641672453703704</v>
      </c>
      <c r="E313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37" t="s">
        <v>3</v>
      </c>
      <c r="G3137" s="2">
        <v>30.86</v>
      </c>
    </row>
    <row r="3138" spans="1:7" x14ac:dyDescent="0.25">
      <c r="A313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250223-LUN002</v>
      </c>
      <c r="B3138" s="1" t="str">
        <f>TEXT(Coffee_sales_clean[[#This Row],[Transaction Date]],"dddd")</f>
        <v>Sunday</v>
      </c>
      <c r="C3138" s="12">
        <v>45711</v>
      </c>
      <c r="D3138" s="4">
        <v>0.53757141203703707</v>
      </c>
      <c r="E313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38" t="s">
        <v>3</v>
      </c>
      <c r="G3138" s="2">
        <v>30.86</v>
      </c>
    </row>
    <row r="3139" spans="1:7" x14ac:dyDescent="0.25">
      <c r="A313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250223-LUN003</v>
      </c>
      <c r="B3139" s="1" t="str">
        <f>TEXT(Coffee_sales_clean[[#This Row],[Transaction Date]],"dddd")</f>
        <v>Sunday</v>
      </c>
      <c r="C3139" s="12">
        <v>45711</v>
      </c>
      <c r="D3139" s="4">
        <v>0.57663920138888891</v>
      </c>
      <c r="E313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39" t="s">
        <v>7</v>
      </c>
      <c r="G3139" s="2">
        <v>35.76</v>
      </c>
    </row>
    <row r="3140" spans="1:7" x14ac:dyDescent="0.25">
      <c r="A314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250223-AFT001</v>
      </c>
      <c r="B3140" s="1" t="str">
        <f>TEXT(Coffee_sales_clean[[#This Row],[Transaction Date]],"dddd")</f>
        <v>Sunday</v>
      </c>
      <c r="C3140" s="12">
        <v>45711</v>
      </c>
      <c r="D3140" s="4">
        <v>0.58476204861111114</v>
      </c>
      <c r="E314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40" t="s">
        <v>4</v>
      </c>
      <c r="G3140" s="2">
        <v>35.76</v>
      </c>
    </row>
    <row r="3141" spans="1:7" x14ac:dyDescent="0.25">
      <c r="A314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250223-EVE001</v>
      </c>
      <c r="B3141" s="1" t="str">
        <f>TEXT(Coffee_sales_clean[[#This Row],[Transaction Date]],"dddd")</f>
        <v>Sunday</v>
      </c>
      <c r="C3141" s="12">
        <v>45711</v>
      </c>
      <c r="D3141" s="4">
        <v>0.72760326388888885</v>
      </c>
      <c r="E314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41" t="s">
        <v>2</v>
      </c>
      <c r="G3141" s="2">
        <v>25.96</v>
      </c>
    </row>
    <row r="3142" spans="1:7" x14ac:dyDescent="0.25">
      <c r="A314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250224-MOR001</v>
      </c>
      <c r="B3142" s="1" t="str">
        <f>TEXT(Coffee_sales_clean[[#This Row],[Transaction Date]],"dddd")</f>
        <v>Monday</v>
      </c>
      <c r="C3142" s="12">
        <v>45712</v>
      </c>
      <c r="D3142" s="4">
        <v>0.38534218749999999</v>
      </c>
      <c r="E314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42" t="s">
        <v>3</v>
      </c>
      <c r="G3142" s="2">
        <v>30.86</v>
      </c>
    </row>
    <row r="3143" spans="1:7" x14ac:dyDescent="0.25">
      <c r="A314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250224-MOR002</v>
      </c>
      <c r="B3143" s="1" t="str">
        <f>TEXT(Coffee_sales_clean[[#This Row],[Transaction Date]],"dddd")</f>
        <v>Monday</v>
      </c>
      <c r="C3143" s="12">
        <v>45712</v>
      </c>
      <c r="D3143" s="4">
        <v>0.40637383101851854</v>
      </c>
      <c r="E314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43" t="s">
        <v>0</v>
      </c>
      <c r="G3143" s="2">
        <v>35.76</v>
      </c>
    </row>
    <row r="3144" spans="1:7" x14ac:dyDescent="0.25">
      <c r="A314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250224-MOR003</v>
      </c>
      <c r="B3144" s="1" t="str">
        <f>TEXT(Coffee_sales_clean[[#This Row],[Transaction Date]],"dddd")</f>
        <v>Monday</v>
      </c>
      <c r="C3144" s="12">
        <v>45712</v>
      </c>
      <c r="D3144" s="4">
        <v>0.41861690972222221</v>
      </c>
      <c r="E314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44" t="s">
        <v>2</v>
      </c>
      <c r="G3144" s="2">
        <v>25.96</v>
      </c>
    </row>
    <row r="3145" spans="1:7" x14ac:dyDescent="0.25">
      <c r="A314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250224-MOR004</v>
      </c>
      <c r="B3145" s="1" t="str">
        <f>TEXT(Coffee_sales_clean[[#This Row],[Transaction Date]],"dddd")</f>
        <v>Monday</v>
      </c>
      <c r="C3145" s="12">
        <v>45712</v>
      </c>
      <c r="D3145" s="4">
        <v>0.42306127314814818</v>
      </c>
      <c r="E314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45" t="s">
        <v>3</v>
      </c>
      <c r="G3145" s="2">
        <v>30.86</v>
      </c>
    </row>
    <row r="3146" spans="1:7" x14ac:dyDescent="0.25">
      <c r="A314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250224-MOR005</v>
      </c>
      <c r="B3146" s="1" t="str">
        <f>TEXT(Coffee_sales_clean[[#This Row],[Transaction Date]],"dddd")</f>
        <v>Monday</v>
      </c>
      <c r="C3146" s="12">
        <v>45712</v>
      </c>
      <c r="D3146" s="4">
        <v>0.42386256944444445</v>
      </c>
      <c r="E314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46" t="s">
        <v>3</v>
      </c>
      <c r="G3146" s="2">
        <v>30.86</v>
      </c>
    </row>
    <row r="3147" spans="1:7" x14ac:dyDescent="0.25">
      <c r="A314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250224-MOR006</v>
      </c>
      <c r="B3147" s="1" t="str">
        <f>TEXT(Coffee_sales_clean[[#This Row],[Transaction Date]],"dddd")</f>
        <v>Monday</v>
      </c>
      <c r="C3147" s="12">
        <v>45712</v>
      </c>
      <c r="D3147" s="4">
        <v>0.44985740740740743</v>
      </c>
      <c r="E314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47" t="s">
        <v>4</v>
      </c>
      <c r="G3147" s="2">
        <v>35.76</v>
      </c>
    </row>
    <row r="3148" spans="1:7" x14ac:dyDescent="0.25">
      <c r="A314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250224-LUN001</v>
      </c>
      <c r="B3148" s="1" t="str">
        <f>TEXT(Coffee_sales_clean[[#This Row],[Transaction Date]],"dddd")</f>
        <v>Monday</v>
      </c>
      <c r="C3148" s="12">
        <v>45712</v>
      </c>
      <c r="D3148" s="4">
        <v>0.54075589120370371</v>
      </c>
      <c r="E314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48" t="s">
        <v>0</v>
      </c>
      <c r="G3148" s="2">
        <v>35.76</v>
      </c>
    </row>
    <row r="3149" spans="1:7" x14ac:dyDescent="0.25">
      <c r="A314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250224-LUN002</v>
      </c>
      <c r="B3149" s="1" t="str">
        <f>TEXT(Coffee_sales_clean[[#This Row],[Transaction Date]],"dddd")</f>
        <v>Monday</v>
      </c>
      <c r="C3149" s="12">
        <v>45712</v>
      </c>
      <c r="D3149" s="4">
        <v>0.54168145833333337</v>
      </c>
      <c r="E314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49" t="s">
        <v>4</v>
      </c>
      <c r="G3149" s="2">
        <v>35.76</v>
      </c>
    </row>
    <row r="3150" spans="1:7" x14ac:dyDescent="0.25">
      <c r="A315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250224-AFT001</v>
      </c>
      <c r="B3150" s="1" t="str">
        <f>TEXT(Coffee_sales_clean[[#This Row],[Transaction Date]],"dddd")</f>
        <v>Monday</v>
      </c>
      <c r="C3150" s="12">
        <v>45712</v>
      </c>
      <c r="D3150" s="4">
        <v>0.65279884259259258</v>
      </c>
      <c r="E315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50" t="s">
        <v>3</v>
      </c>
      <c r="G3150" s="2">
        <v>30.86</v>
      </c>
    </row>
    <row r="3151" spans="1:7" x14ac:dyDescent="0.25">
      <c r="A315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250224-AFT002</v>
      </c>
      <c r="B3151" s="1" t="str">
        <f>TEXT(Coffee_sales_clean[[#This Row],[Transaction Date]],"dddd")</f>
        <v>Monday</v>
      </c>
      <c r="C3151" s="12">
        <v>45712</v>
      </c>
      <c r="D3151" s="4">
        <v>0.66673989583333337</v>
      </c>
      <c r="E315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51" t="s">
        <v>4</v>
      </c>
      <c r="G3151" s="2">
        <v>35.76</v>
      </c>
    </row>
    <row r="3152" spans="1:7" x14ac:dyDescent="0.25">
      <c r="A315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250224-AFT003</v>
      </c>
      <c r="B3152" s="1" t="str">
        <f>TEXT(Coffee_sales_clean[[#This Row],[Transaction Date]],"dddd")</f>
        <v>Monday</v>
      </c>
      <c r="C3152" s="12">
        <v>45712</v>
      </c>
      <c r="D3152" s="4">
        <v>0.67388855324074071</v>
      </c>
      <c r="E315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52" t="s">
        <v>7</v>
      </c>
      <c r="G3152" s="2">
        <v>35.76</v>
      </c>
    </row>
    <row r="3153" spans="1:7" x14ac:dyDescent="0.25">
      <c r="A315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250224-AFT004</v>
      </c>
      <c r="B3153" s="1" t="str">
        <f>TEXT(Coffee_sales_clean[[#This Row],[Transaction Date]],"dddd")</f>
        <v>Monday</v>
      </c>
      <c r="C3153" s="12">
        <v>45712</v>
      </c>
      <c r="D3153" s="4">
        <v>0.68671449074074076</v>
      </c>
      <c r="E315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53" t="s">
        <v>0</v>
      </c>
      <c r="G3153" s="2">
        <v>35.76</v>
      </c>
    </row>
    <row r="3154" spans="1:7" x14ac:dyDescent="0.25">
      <c r="A315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250224-AFT005</v>
      </c>
      <c r="B3154" s="1" t="str">
        <f>TEXT(Coffee_sales_clean[[#This Row],[Transaction Date]],"dddd")</f>
        <v>Monday</v>
      </c>
      <c r="C3154" s="12">
        <v>45712</v>
      </c>
      <c r="D3154" s="4">
        <v>0.70808481481481478</v>
      </c>
      <c r="E315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54" t="s">
        <v>2</v>
      </c>
      <c r="G3154" s="2">
        <v>25.96</v>
      </c>
    </row>
    <row r="3155" spans="1:7" x14ac:dyDescent="0.25">
      <c r="A315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250224-EVE001</v>
      </c>
      <c r="B3155" s="1" t="str">
        <f>TEXT(Coffee_sales_clean[[#This Row],[Transaction Date]],"dddd")</f>
        <v>Monday</v>
      </c>
      <c r="C3155" s="12">
        <v>45712</v>
      </c>
      <c r="D3155" s="4">
        <v>0.7088534143518519</v>
      </c>
      <c r="E315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55" t="s">
        <v>2</v>
      </c>
      <c r="G3155" s="2">
        <v>25.96</v>
      </c>
    </row>
    <row r="3156" spans="1:7" x14ac:dyDescent="0.25">
      <c r="A315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250224-EVE002</v>
      </c>
      <c r="B3156" s="1" t="str">
        <f>TEXT(Coffee_sales_clean[[#This Row],[Transaction Date]],"dddd")</f>
        <v>Monday</v>
      </c>
      <c r="C3156" s="12">
        <v>45712</v>
      </c>
      <c r="D3156" s="4">
        <v>0.73447855324074074</v>
      </c>
      <c r="E315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56" t="s">
        <v>3</v>
      </c>
      <c r="G3156" s="2">
        <v>30.86</v>
      </c>
    </row>
    <row r="3157" spans="1:7" x14ac:dyDescent="0.25">
      <c r="A315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250224-EVE003</v>
      </c>
      <c r="B3157" s="1" t="str">
        <f>TEXT(Coffee_sales_clean[[#This Row],[Transaction Date]],"dddd")</f>
        <v>Monday</v>
      </c>
      <c r="C3157" s="12">
        <v>45712</v>
      </c>
      <c r="D3157" s="4">
        <v>0.75488077546296295</v>
      </c>
      <c r="E315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57" t="s">
        <v>3</v>
      </c>
      <c r="G3157" s="2">
        <v>30.86</v>
      </c>
    </row>
    <row r="3158" spans="1:7" x14ac:dyDescent="0.25">
      <c r="A315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250224-EVE004</v>
      </c>
      <c r="B3158" s="1" t="str">
        <f>TEXT(Coffee_sales_clean[[#This Row],[Transaction Date]],"dddd")</f>
        <v>Monday</v>
      </c>
      <c r="C3158" s="12">
        <v>45712</v>
      </c>
      <c r="D3158" s="4">
        <v>0.76524496527777774</v>
      </c>
      <c r="E315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58" t="s">
        <v>0</v>
      </c>
      <c r="G3158" s="2">
        <v>35.76</v>
      </c>
    </row>
    <row r="3159" spans="1:7" x14ac:dyDescent="0.25">
      <c r="A315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250224-EVE005</v>
      </c>
      <c r="B3159" s="1" t="str">
        <f>TEXT(Coffee_sales_clean[[#This Row],[Transaction Date]],"dddd")</f>
        <v>Monday</v>
      </c>
      <c r="C3159" s="12">
        <v>45712</v>
      </c>
      <c r="D3159" s="4">
        <v>0.79484302083333336</v>
      </c>
      <c r="E315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59" t="s">
        <v>3</v>
      </c>
      <c r="G3159" s="2">
        <v>30.86</v>
      </c>
    </row>
    <row r="3160" spans="1:7" x14ac:dyDescent="0.25">
      <c r="A316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250224-EVE006</v>
      </c>
      <c r="B3160" s="1" t="str">
        <f>TEXT(Coffee_sales_clean[[#This Row],[Transaction Date]],"dddd")</f>
        <v>Monday</v>
      </c>
      <c r="C3160" s="12">
        <v>45712</v>
      </c>
      <c r="D3160" s="4">
        <v>0.80845843750000002</v>
      </c>
      <c r="E316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60" t="s">
        <v>1</v>
      </c>
      <c r="G3160" s="2">
        <v>35.76</v>
      </c>
    </row>
    <row r="3161" spans="1:7" x14ac:dyDescent="0.25">
      <c r="A316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250224-EVE007</v>
      </c>
      <c r="B3161" s="1" t="str">
        <f>TEXT(Coffee_sales_clean[[#This Row],[Transaction Date]],"dddd")</f>
        <v>Monday</v>
      </c>
      <c r="C3161" s="12">
        <v>45712</v>
      </c>
      <c r="D3161" s="4">
        <v>0.8089630902777778</v>
      </c>
      <c r="E316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61" t="s">
        <v>0</v>
      </c>
      <c r="G3161" s="2">
        <v>35.76</v>
      </c>
    </row>
    <row r="3162" spans="1:7" x14ac:dyDescent="0.25">
      <c r="A316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250224-EVE008</v>
      </c>
      <c r="B3162" s="1" t="str">
        <f>TEXT(Coffee_sales_clean[[#This Row],[Transaction Date]],"dddd")</f>
        <v>Monday</v>
      </c>
      <c r="C3162" s="12">
        <v>45712</v>
      </c>
      <c r="D3162" s="4">
        <v>0.80989313657407402</v>
      </c>
      <c r="E316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62" t="s">
        <v>4</v>
      </c>
      <c r="G3162" s="2">
        <v>35.76</v>
      </c>
    </row>
    <row r="3163" spans="1:7" x14ac:dyDescent="0.25">
      <c r="A316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250224-LAT001</v>
      </c>
      <c r="B3163" s="1" t="str">
        <f>TEXT(Coffee_sales_clean[[#This Row],[Transaction Date]],"dddd")</f>
        <v>Monday</v>
      </c>
      <c r="C3163" s="12">
        <v>45712</v>
      </c>
      <c r="D3163" s="4">
        <v>0.84364934027777783</v>
      </c>
      <c r="E316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3163" t="s">
        <v>4</v>
      </c>
      <c r="G3163" s="2">
        <v>35.76</v>
      </c>
    </row>
    <row r="3164" spans="1:7" x14ac:dyDescent="0.25">
      <c r="A316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250225-MOR001</v>
      </c>
      <c r="B3164" s="1" t="str">
        <f>TEXT(Coffee_sales_clean[[#This Row],[Transaction Date]],"dddd")</f>
        <v>Tuesday</v>
      </c>
      <c r="C3164" s="12">
        <v>45713</v>
      </c>
      <c r="D3164" s="4">
        <v>0.33378769675925923</v>
      </c>
      <c r="E316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64" t="s">
        <v>3</v>
      </c>
      <c r="G3164" s="2">
        <v>30.86</v>
      </c>
    </row>
    <row r="3165" spans="1:7" x14ac:dyDescent="0.25">
      <c r="A316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250225-MOR002</v>
      </c>
      <c r="B3165" s="1" t="str">
        <f>TEXT(Coffee_sales_clean[[#This Row],[Transaction Date]],"dddd")</f>
        <v>Tuesday</v>
      </c>
      <c r="C3165" s="12">
        <v>45713</v>
      </c>
      <c r="D3165" s="4">
        <v>0.36760495370370372</v>
      </c>
      <c r="E316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65" t="s">
        <v>2</v>
      </c>
      <c r="G3165" s="2">
        <v>25.96</v>
      </c>
    </row>
    <row r="3166" spans="1:7" x14ac:dyDescent="0.25">
      <c r="A316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250225-MOR003</v>
      </c>
      <c r="B3166" s="1" t="str">
        <f>TEXT(Coffee_sales_clean[[#This Row],[Transaction Date]],"dddd")</f>
        <v>Tuesday</v>
      </c>
      <c r="C3166" s="12">
        <v>45713</v>
      </c>
      <c r="D3166" s="4">
        <v>0.36822059027777776</v>
      </c>
      <c r="E316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66" t="s">
        <v>3</v>
      </c>
      <c r="G3166" s="2">
        <v>30.86</v>
      </c>
    </row>
    <row r="3167" spans="1:7" x14ac:dyDescent="0.25">
      <c r="A316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250225-MOR004</v>
      </c>
      <c r="B3167" s="1" t="str">
        <f>TEXT(Coffee_sales_clean[[#This Row],[Transaction Date]],"dddd")</f>
        <v>Tuesday</v>
      </c>
      <c r="C3167" s="12">
        <v>45713</v>
      </c>
      <c r="D3167" s="4">
        <v>0.4185746759259259</v>
      </c>
      <c r="E316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67" t="s">
        <v>6</v>
      </c>
      <c r="G3167" s="2">
        <v>21.06</v>
      </c>
    </row>
    <row r="3168" spans="1:7" x14ac:dyDescent="0.25">
      <c r="A316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250225-LUN001</v>
      </c>
      <c r="B3168" s="1" t="str">
        <f>TEXT(Coffee_sales_clean[[#This Row],[Transaction Date]],"dddd")</f>
        <v>Tuesday</v>
      </c>
      <c r="C3168" s="12">
        <v>45713</v>
      </c>
      <c r="D3168" s="4">
        <v>0.46080844907407409</v>
      </c>
      <c r="E316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68" t="s">
        <v>2</v>
      </c>
      <c r="G3168" s="2">
        <v>25.96</v>
      </c>
    </row>
    <row r="3169" spans="1:7" x14ac:dyDescent="0.25">
      <c r="A316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250225-LUN002</v>
      </c>
      <c r="B3169" s="1" t="str">
        <f>TEXT(Coffee_sales_clean[[#This Row],[Transaction Date]],"dddd")</f>
        <v>Tuesday</v>
      </c>
      <c r="C3169" s="12">
        <v>45713</v>
      </c>
      <c r="D3169" s="4">
        <v>0.46142265046296294</v>
      </c>
      <c r="E316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69" t="s">
        <v>2</v>
      </c>
      <c r="G3169" s="2">
        <v>25.96</v>
      </c>
    </row>
    <row r="3170" spans="1:7" x14ac:dyDescent="0.25">
      <c r="A317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250225-LUN003</v>
      </c>
      <c r="B3170" s="1" t="str">
        <f>TEXT(Coffee_sales_clean[[#This Row],[Transaction Date]],"dddd")</f>
        <v>Tuesday</v>
      </c>
      <c r="C3170" s="12">
        <v>45713</v>
      </c>
      <c r="D3170" s="4">
        <v>0.51436929398148146</v>
      </c>
      <c r="E317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70" t="s">
        <v>7</v>
      </c>
      <c r="G3170" s="2">
        <v>35.76</v>
      </c>
    </row>
    <row r="3171" spans="1:7" x14ac:dyDescent="0.25">
      <c r="A317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250225-AFT001</v>
      </c>
      <c r="B3171" s="1" t="str">
        <f>TEXT(Coffee_sales_clean[[#This Row],[Transaction Date]],"dddd")</f>
        <v>Tuesday</v>
      </c>
      <c r="C3171" s="12">
        <v>45713</v>
      </c>
      <c r="D3171" s="4">
        <v>0.59327015046296294</v>
      </c>
      <c r="E317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71" t="s">
        <v>7</v>
      </c>
      <c r="G3171" s="2">
        <v>35.76</v>
      </c>
    </row>
    <row r="3172" spans="1:7" x14ac:dyDescent="0.25">
      <c r="A317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250225-AFT002</v>
      </c>
      <c r="B3172" s="1" t="str">
        <f>TEXT(Coffee_sales_clean[[#This Row],[Transaction Date]],"dddd")</f>
        <v>Tuesday</v>
      </c>
      <c r="C3172" s="12">
        <v>45713</v>
      </c>
      <c r="D3172" s="4">
        <v>0.70112725694444444</v>
      </c>
      <c r="E317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72" t="s">
        <v>2</v>
      </c>
      <c r="G3172" s="2">
        <v>25.96</v>
      </c>
    </row>
    <row r="3173" spans="1:7" x14ac:dyDescent="0.25">
      <c r="A317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250225-AFT003</v>
      </c>
      <c r="B3173" s="1" t="str">
        <f>TEXT(Coffee_sales_clean[[#This Row],[Transaction Date]],"dddd")</f>
        <v>Tuesday</v>
      </c>
      <c r="C3173" s="12">
        <v>45713</v>
      </c>
      <c r="D3173" s="4">
        <v>0.70180336805555554</v>
      </c>
      <c r="E317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73" t="s">
        <v>2</v>
      </c>
      <c r="G3173" s="2">
        <v>25.96</v>
      </c>
    </row>
    <row r="3174" spans="1:7" x14ac:dyDescent="0.25">
      <c r="A317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250225-EVE001</v>
      </c>
      <c r="B3174" s="1" t="str">
        <f>TEXT(Coffee_sales_clean[[#This Row],[Transaction Date]],"dddd")</f>
        <v>Tuesday</v>
      </c>
      <c r="C3174" s="12">
        <v>45713</v>
      </c>
      <c r="D3174" s="4">
        <v>0.76329927083333338</v>
      </c>
      <c r="E317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74" t="s">
        <v>4</v>
      </c>
      <c r="G3174" s="2">
        <v>35.76</v>
      </c>
    </row>
    <row r="3175" spans="1:7" x14ac:dyDescent="0.25">
      <c r="A317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250225-EVE002</v>
      </c>
      <c r="B3175" s="1" t="str">
        <f>TEXT(Coffee_sales_clean[[#This Row],[Transaction Date]],"dddd")</f>
        <v>Tuesday</v>
      </c>
      <c r="C3175" s="12">
        <v>45713</v>
      </c>
      <c r="D3175" s="4">
        <v>0.81435687499999998</v>
      </c>
      <c r="E317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75" t="s">
        <v>7</v>
      </c>
      <c r="G3175" s="2">
        <v>35.76</v>
      </c>
    </row>
    <row r="3176" spans="1:7" x14ac:dyDescent="0.25">
      <c r="A317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250226-MOR001</v>
      </c>
      <c r="B3176" s="1" t="str">
        <f>TEXT(Coffee_sales_clean[[#This Row],[Transaction Date]],"dddd")</f>
        <v>Wednesday</v>
      </c>
      <c r="C3176" s="12">
        <v>45714</v>
      </c>
      <c r="D3176" s="4">
        <v>0.37334765046296298</v>
      </c>
      <c r="E317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76" t="s">
        <v>2</v>
      </c>
      <c r="G3176" s="2">
        <v>25.96</v>
      </c>
    </row>
    <row r="3177" spans="1:7" x14ac:dyDescent="0.25">
      <c r="A317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250226-MOR002</v>
      </c>
      <c r="B3177" s="1" t="str">
        <f>TEXT(Coffee_sales_clean[[#This Row],[Transaction Date]],"dddd")</f>
        <v>Wednesday</v>
      </c>
      <c r="C3177" s="12">
        <v>45714</v>
      </c>
      <c r="D3177" s="4">
        <v>0.42461967592592592</v>
      </c>
      <c r="E317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77" t="s">
        <v>3</v>
      </c>
      <c r="G3177" s="2">
        <v>30.86</v>
      </c>
    </row>
    <row r="3178" spans="1:7" x14ac:dyDescent="0.25">
      <c r="A317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250226-MOR003</v>
      </c>
      <c r="B3178" s="1" t="str">
        <f>TEXT(Coffee_sales_clean[[#This Row],[Transaction Date]],"dddd")</f>
        <v>Wednesday</v>
      </c>
      <c r="C3178" s="12">
        <v>45714</v>
      </c>
      <c r="D3178" s="4">
        <v>0.42529528935185185</v>
      </c>
      <c r="E317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78" t="s">
        <v>3</v>
      </c>
      <c r="G3178" s="2">
        <v>30.86</v>
      </c>
    </row>
    <row r="3179" spans="1:7" x14ac:dyDescent="0.25">
      <c r="A317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250226-MOR004</v>
      </c>
      <c r="B3179" s="1" t="str">
        <f>TEXT(Coffee_sales_clean[[#This Row],[Transaction Date]],"dddd")</f>
        <v>Wednesday</v>
      </c>
      <c r="C3179" s="12">
        <v>45714</v>
      </c>
      <c r="D3179" s="4">
        <v>0.42843855324074076</v>
      </c>
      <c r="E317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79" t="s">
        <v>1</v>
      </c>
      <c r="G3179" s="2">
        <v>35.76</v>
      </c>
    </row>
    <row r="3180" spans="1:7" x14ac:dyDescent="0.25">
      <c r="A318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250226-LUN001</v>
      </c>
      <c r="B3180" s="1" t="str">
        <f>TEXT(Coffee_sales_clean[[#This Row],[Transaction Date]],"dddd")</f>
        <v>Wednesday</v>
      </c>
      <c r="C3180" s="12">
        <v>45714</v>
      </c>
      <c r="D3180" s="4">
        <v>0.55100552083333332</v>
      </c>
      <c r="E318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80" t="s">
        <v>4</v>
      </c>
      <c r="G3180" s="2">
        <v>35.76</v>
      </c>
    </row>
    <row r="3181" spans="1:7" x14ac:dyDescent="0.25">
      <c r="A318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250226-LUN002</v>
      </c>
      <c r="B3181" s="1" t="str">
        <f>TEXT(Coffee_sales_clean[[#This Row],[Transaction Date]],"dddd")</f>
        <v>Wednesday</v>
      </c>
      <c r="C3181" s="12">
        <v>45714</v>
      </c>
      <c r="D3181" s="4">
        <v>0.5634677199074074</v>
      </c>
      <c r="E318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81" t="s">
        <v>0</v>
      </c>
      <c r="G3181" s="2">
        <v>35.76</v>
      </c>
    </row>
    <row r="3182" spans="1:7" x14ac:dyDescent="0.25">
      <c r="A318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250226-AFT001</v>
      </c>
      <c r="B3182" s="1" t="str">
        <f>TEXT(Coffee_sales_clean[[#This Row],[Transaction Date]],"dddd")</f>
        <v>Wednesday</v>
      </c>
      <c r="C3182" s="12">
        <v>45714</v>
      </c>
      <c r="D3182" s="4">
        <v>0.6263731018518518</v>
      </c>
      <c r="E318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82" t="s">
        <v>2</v>
      </c>
      <c r="G3182" s="2">
        <v>25.96</v>
      </c>
    </row>
    <row r="3183" spans="1:7" x14ac:dyDescent="0.25">
      <c r="A318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250226-AFT002</v>
      </c>
      <c r="B3183" s="1" t="str">
        <f>TEXT(Coffee_sales_clean[[#This Row],[Transaction Date]],"dddd")</f>
        <v>Wednesday</v>
      </c>
      <c r="C3183" s="12">
        <v>45714</v>
      </c>
      <c r="D3183" s="4">
        <v>0.63527765046296292</v>
      </c>
      <c r="E318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83" t="s">
        <v>2</v>
      </c>
      <c r="G3183" s="2">
        <v>25.96</v>
      </c>
    </row>
    <row r="3184" spans="1:7" x14ac:dyDescent="0.25">
      <c r="A318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250226-AFT003</v>
      </c>
      <c r="B3184" s="1" t="str">
        <f>TEXT(Coffee_sales_clean[[#This Row],[Transaction Date]],"dddd")</f>
        <v>Wednesday</v>
      </c>
      <c r="C3184" s="12">
        <v>45714</v>
      </c>
      <c r="D3184" s="4">
        <v>0.63708966435185188</v>
      </c>
      <c r="E318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84" t="s">
        <v>5</v>
      </c>
      <c r="G3184" s="2">
        <v>25.96</v>
      </c>
    </row>
    <row r="3185" spans="1:7" x14ac:dyDescent="0.25">
      <c r="A318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250226-AFT004</v>
      </c>
      <c r="B3185" s="1" t="str">
        <f>TEXT(Coffee_sales_clean[[#This Row],[Transaction Date]],"dddd")</f>
        <v>Wednesday</v>
      </c>
      <c r="C3185" s="12">
        <v>45714</v>
      </c>
      <c r="D3185" s="4">
        <v>0.63892152777777778</v>
      </c>
      <c r="E318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85" t="s">
        <v>1</v>
      </c>
      <c r="G3185" s="2">
        <v>35.76</v>
      </c>
    </row>
    <row r="3186" spans="1:7" x14ac:dyDescent="0.25">
      <c r="A318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250226-AFT005</v>
      </c>
      <c r="B3186" s="1" t="str">
        <f>TEXT(Coffee_sales_clean[[#This Row],[Transaction Date]],"dddd")</f>
        <v>Wednesday</v>
      </c>
      <c r="C3186" s="12">
        <v>45714</v>
      </c>
      <c r="D3186" s="4">
        <v>0.63945376157407408</v>
      </c>
      <c r="E318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86" t="s">
        <v>2</v>
      </c>
      <c r="G3186" s="2">
        <v>25.96</v>
      </c>
    </row>
    <row r="3187" spans="1:7" x14ac:dyDescent="0.25">
      <c r="A318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250226-AFT006</v>
      </c>
      <c r="B3187" s="1" t="str">
        <f>TEXT(Coffee_sales_clean[[#This Row],[Transaction Date]],"dddd")</f>
        <v>Wednesday</v>
      </c>
      <c r="C3187" s="12">
        <v>45714</v>
      </c>
      <c r="D3187" s="4">
        <v>0.64496824074074077</v>
      </c>
      <c r="E318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87" t="s">
        <v>2</v>
      </c>
      <c r="G3187" s="2">
        <v>25.96</v>
      </c>
    </row>
    <row r="3188" spans="1:7" x14ac:dyDescent="0.25">
      <c r="A318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250226-AFT007</v>
      </c>
      <c r="B3188" s="1" t="str">
        <f>TEXT(Coffee_sales_clean[[#This Row],[Transaction Date]],"dddd")</f>
        <v>Wednesday</v>
      </c>
      <c r="C3188" s="12">
        <v>45714</v>
      </c>
      <c r="D3188" s="4">
        <v>0.68109712962962965</v>
      </c>
      <c r="E318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88" t="s">
        <v>0</v>
      </c>
      <c r="G3188" s="2">
        <v>35.76</v>
      </c>
    </row>
    <row r="3189" spans="1:7" x14ac:dyDescent="0.25">
      <c r="A318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250226-AFT008</v>
      </c>
      <c r="B3189" s="1" t="str">
        <f>TEXT(Coffee_sales_clean[[#This Row],[Transaction Date]],"dddd")</f>
        <v>Wednesday</v>
      </c>
      <c r="C3189" s="12">
        <v>45714</v>
      </c>
      <c r="D3189" s="4">
        <v>0.70501868055555561</v>
      </c>
      <c r="E318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89" t="s">
        <v>1</v>
      </c>
      <c r="G3189" s="2">
        <v>35.76</v>
      </c>
    </row>
    <row r="3190" spans="1:7" x14ac:dyDescent="0.25">
      <c r="A319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250226-AFT009</v>
      </c>
      <c r="B3190" s="1" t="str">
        <f>TEXT(Coffee_sales_clean[[#This Row],[Transaction Date]],"dddd")</f>
        <v>Wednesday</v>
      </c>
      <c r="C3190" s="12">
        <v>45714</v>
      </c>
      <c r="D3190" s="4">
        <v>0.70555149305555553</v>
      </c>
      <c r="E319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190" t="s">
        <v>0</v>
      </c>
      <c r="G3190" s="2">
        <v>35.76</v>
      </c>
    </row>
    <row r="3191" spans="1:7" x14ac:dyDescent="0.25">
      <c r="A319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250226-EVE001</v>
      </c>
      <c r="B3191" s="1" t="str">
        <f>TEXT(Coffee_sales_clean[[#This Row],[Transaction Date]],"dddd")</f>
        <v>Wednesday</v>
      </c>
      <c r="C3191" s="12">
        <v>45714</v>
      </c>
      <c r="D3191" s="4">
        <v>0.72412700231481486</v>
      </c>
      <c r="E319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91" t="s">
        <v>3</v>
      </c>
      <c r="G3191" s="2">
        <v>30.86</v>
      </c>
    </row>
    <row r="3192" spans="1:7" x14ac:dyDescent="0.25">
      <c r="A319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250226-EVE002</v>
      </c>
      <c r="B3192" s="1" t="str">
        <f>TEXT(Coffee_sales_clean[[#This Row],[Transaction Date]],"dddd")</f>
        <v>Wednesday</v>
      </c>
      <c r="C3192" s="12">
        <v>45714</v>
      </c>
      <c r="D3192" s="4">
        <v>0.75791828703703701</v>
      </c>
      <c r="E319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92" t="s">
        <v>0</v>
      </c>
      <c r="G3192" s="2">
        <v>35.76</v>
      </c>
    </row>
    <row r="3193" spans="1:7" x14ac:dyDescent="0.25">
      <c r="A319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250226-EVE003</v>
      </c>
      <c r="B3193" s="1" t="str">
        <f>TEXT(Coffee_sales_clean[[#This Row],[Transaction Date]],"dddd")</f>
        <v>Wednesday</v>
      </c>
      <c r="C3193" s="12">
        <v>45714</v>
      </c>
      <c r="D3193" s="4">
        <v>0.75961133101851852</v>
      </c>
      <c r="E319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193" t="s">
        <v>7</v>
      </c>
      <c r="G3193" s="2">
        <v>35.76</v>
      </c>
    </row>
    <row r="3194" spans="1:7" x14ac:dyDescent="0.25">
      <c r="A319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250227-MOR001</v>
      </c>
      <c r="B3194" s="1" t="str">
        <f>TEXT(Coffee_sales_clean[[#This Row],[Transaction Date]],"dddd")</f>
        <v>Thursday</v>
      </c>
      <c r="C3194" s="12">
        <v>45715</v>
      </c>
      <c r="D3194" s="4">
        <v>0.30486483796296299</v>
      </c>
      <c r="E319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94" t="s">
        <v>7</v>
      </c>
      <c r="G3194" s="2">
        <v>35.76</v>
      </c>
    </row>
    <row r="3195" spans="1:7" x14ac:dyDescent="0.25">
      <c r="A319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250227-MOR002</v>
      </c>
      <c r="B3195" s="1" t="str">
        <f>TEXT(Coffee_sales_clean[[#This Row],[Transaction Date]],"dddd")</f>
        <v>Thursday</v>
      </c>
      <c r="C3195" s="12">
        <v>45715</v>
      </c>
      <c r="D3195" s="4">
        <v>0.30625674768518518</v>
      </c>
      <c r="E319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95" t="s">
        <v>7</v>
      </c>
      <c r="G3195" s="2">
        <v>35.76</v>
      </c>
    </row>
    <row r="3196" spans="1:7" x14ac:dyDescent="0.25">
      <c r="A319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250227-MOR003</v>
      </c>
      <c r="B3196" s="1" t="str">
        <f>TEXT(Coffee_sales_clean[[#This Row],[Transaction Date]],"dddd")</f>
        <v>Thursday</v>
      </c>
      <c r="C3196" s="12">
        <v>45715</v>
      </c>
      <c r="D3196" s="4">
        <v>0.45311519675925926</v>
      </c>
      <c r="E319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196" t="s">
        <v>6</v>
      </c>
      <c r="G3196" s="2">
        <v>21.06</v>
      </c>
    </row>
    <row r="3197" spans="1:7" x14ac:dyDescent="0.25">
      <c r="A319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250227-LUN001</v>
      </c>
      <c r="B3197" s="1" t="str">
        <f>TEXT(Coffee_sales_clean[[#This Row],[Transaction Date]],"dddd")</f>
        <v>Thursday</v>
      </c>
      <c r="C3197" s="12">
        <v>45715</v>
      </c>
      <c r="D3197" s="4">
        <v>0.46408407407407409</v>
      </c>
      <c r="E319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97" t="s">
        <v>4</v>
      </c>
      <c r="G3197" s="2">
        <v>35.76</v>
      </c>
    </row>
    <row r="3198" spans="1:7" x14ac:dyDescent="0.25">
      <c r="A319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250227-LUN002</v>
      </c>
      <c r="B3198" s="1" t="str">
        <f>TEXT(Coffee_sales_clean[[#This Row],[Transaction Date]],"dddd")</f>
        <v>Thursday</v>
      </c>
      <c r="C3198" s="12">
        <v>45715</v>
      </c>
      <c r="D3198" s="4">
        <v>0.53351710648148143</v>
      </c>
      <c r="E319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98" t="s">
        <v>4</v>
      </c>
      <c r="G3198" s="2">
        <v>35.76</v>
      </c>
    </row>
    <row r="3199" spans="1:7" x14ac:dyDescent="0.25">
      <c r="A319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250227-LUN003</v>
      </c>
      <c r="B3199" s="1" t="str">
        <f>TEXT(Coffee_sales_clean[[#This Row],[Transaction Date]],"dddd")</f>
        <v>Thursday</v>
      </c>
      <c r="C3199" s="12">
        <v>45715</v>
      </c>
      <c r="D3199" s="4">
        <v>0.56236601851851853</v>
      </c>
      <c r="E319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Lunch Break</v>
      </c>
      <c r="F3199" t="s">
        <v>3</v>
      </c>
      <c r="G3199" s="2">
        <v>30.86</v>
      </c>
    </row>
    <row r="3200" spans="1:7" x14ac:dyDescent="0.25">
      <c r="A320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250227-AFT001</v>
      </c>
      <c r="B3200" s="1" t="str">
        <f>TEXT(Coffee_sales_clean[[#This Row],[Transaction Date]],"dddd")</f>
        <v>Thursday</v>
      </c>
      <c r="C3200" s="12">
        <v>45715</v>
      </c>
      <c r="D3200" s="4">
        <v>0.5994965162037037</v>
      </c>
      <c r="E320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00" t="s">
        <v>2</v>
      </c>
      <c r="G3200" s="2">
        <v>25.96</v>
      </c>
    </row>
    <row r="3201" spans="1:7" x14ac:dyDescent="0.25">
      <c r="A320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250227-AFT002</v>
      </c>
      <c r="B3201" s="1" t="str">
        <f>TEXT(Coffee_sales_clean[[#This Row],[Transaction Date]],"dddd")</f>
        <v>Thursday</v>
      </c>
      <c r="C3201" s="12">
        <v>45715</v>
      </c>
      <c r="D3201" s="4">
        <v>0.61341811342592589</v>
      </c>
      <c r="E320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01" t="s">
        <v>0</v>
      </c>
      <c r="G3201" s="2">
        <v>35.76</v>
      </c>
    </row>
    <row r="3202" spans="1:7" x14ac:dyDescent="0.25">
      <c r="A320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250227-AFT003</v>
      </c>
      <c r="B3202" s="1" t="str">
        <f>TEXT(Coffee_sales_clean[[#This Row],[Transaction Date]],"dddd")</f>
        <v>Thursday</v>
      </c>
      <c r="C3202" s="12">
        <v>45715</v>
      </c>
      <c r="D3202" s="4">
        <v>0.65822560185185186</v>
      </c>
      <c r="E320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02" t="s">
        <v>2</v>
      </c>
      <c r="G3202" s="2">
        <v>25.96</v>
      </c>
    </row>
    <row r="3203" spans="1:7" x14ac:dyDescent="0.25">
      <c r="A320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250227-AFT004</v>
      </c>
      <c r="B3203" s="1" t="str">
        <f>TEXT(Coffee_sales_clean[[#This Row],[Transaction Date]],"dddd")</f>
        <v>Thursday</v>
      </c>
      <c r="C3203" s="12">
        <v>45715</v>
      </c>
      <c r="D3203" s="4">
        <v>0.68643637731481477</v>
      </c>
      <c r="E320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03" t="s">
        <v>2</v>
      </c>
      <c r="G3203" s="2">
        <v>25.96</v>
      </c>
    </row>
    <row r="3204" spans="1:7" x14ac:dyDescent="0.25">
      <c r="A320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250227-EVE001</v>
      </c>
      <c r="B3204" s="1" t="str">
        <f>TEXT(Coffee_sales_clean[[#This Row],[Transaction Date]],"dddd")</f>
        <v>Thursday</v>
      </c>
      <c r="C3204" s="12">
        <v>45715</v>
      </c>
      <c r="D3204" s="4">
        <v>0.71731480324074071</v>
      </c>
      <c r="E320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04" t="s">
        <v>2</v>
      </c>
      <c r="G3204" s="2">
        <v>25.96</v>
      </c>
    </row>
    <row r="3205" spans="1:7" x14ac:dyDescent="0.25">
      <c r="A320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250227-EVE002</v>
      </c>
      <c r="B3205" s="1" t="str">
        <f>TEXT(Coffee_sales_clean[[#This Row],[Transaction Date]],"dddd")</f>
        <v>Thursday</v>
      </c>
      <c r="C3205" s="12">
        <v>45715</v>
      </c>
      <c r="D3205" s="4">
        <v>0.7244217824074074</v>
      </c>
      <c r="E320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05" t="s">
        <v>2</v>
      </c>
      <c r="G3205" s="2">
        <v>25.96</v>
      </c>
    </row>
    <row r="3206" spans="1:7" x14ac:dyDescent="0.25">
      <c r="A320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250227-EVE003</v>
      </c>
      <c r="B3206" s="1" t="str">
        <f>TEXT(Coffee_sales_clean[[#This Row],[Transaction Date]],"dddd")</f>
        <v>Thursday</v>
      </c>
      <c r="C3206" s="12">
        <v>45715</v>
      </c>
      <c r="D3206" s="4">
        <v>0.74528997685185183</v>
      </c>
      <c r="E320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06" t="s">
        <v>0</v>
      </c>
      <c r="G3206" s="2">
        <v>35.76</v>
      </c>
    </row>
    <row r="3207" spans="1:7" x14ac:dyDescent="0.25">
      <c r="A320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250227-EVE004</v>
      </c>
      <c r="B3207" s="1" t="str">
        <f>TEXT(Coffee_sales_clean[[#This Row],[Transaction Date]],"dddd")</f>
        <v>Thursday</v>
      </c>
      <c r="C3207" s="12">
        <v>45715</v>
      </c>
      <c r="D3207" s="4">
        <v>0.76214084490740741</v>
      </c>
      <c r="E320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07" t="s">
        <v>0</v>
      </c>
      <c r="G3207" s="2">
        <v>35.76</v>
      </c>
    </row>
    <row r="3208" spans="1:7" x14ac:dyDescent="0.25">
      <c r="A320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250227-EVE005</v>
      </c>
      <c r="B3208" s="1" t="str">
        <f>TEXT(Coffee_sales_clean[[#This Row],[Transaction Date]],"dddd")</f>
        <v>Thursday</v>
      </c>
      <c r="C3208" s="12">
        <v>45715</v>
      </c>
      <c r="D3208" s="4">
        <v>0.77686175925925927</v>
      </c>
      <c r="E320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08" t="s">
        <v>7</v>
      </c>
      <c r="G3208" s="2">
        <v>35.76</v>
      </c>
    </row>
    <row r="3209" spans="1:7" x14ac:dyDescent="0.25">
      <c r="A320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250227-EVE006</v>
      </c>
      <c r="B3209" s="1" t="str">
        <f>TEXT(Coffee_sales_clean[[#This Row],[Transaction Date]],"dddd")</f>
        <v>Thursday</v>
      </c>
      <c r="C3209" s="12">
        <v>45715</v>
      </c>
      <c r="D3209" s="4">
        <v>0.77779910879629632</v>
      </c>
      <c r="E320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09" t="s">
        <v>4</v>
      </c>
      <c r="G3209" s="2">
        <v>35.76</v>
      </c>
    </row>
    <row r="3210" spans="1:7" x14ac:dyDescent="0.25">
      <c r="A321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250227-EVE007</v>
      </c>
      <c r="B3210" s="1" t="str">
        <f>TEXT(Coffee_sales_clean[[#This Row],[Transaction Date]],"dddd")</f>
        <v>Thursday</v>
      </c>
      <c r="C3210" s="12">
        <v>45715</v>
      </c>
      <c r="D3210" s="4">
        <v>0.77838019675925929</v>
      </c>
      <c r="E321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10" t="s">
        <v>4</v>
      </c>
      <c r="G3210" s="2">
        <v>35.76</v>
      </c>
    </row>
    <row r="3211" spans="1:7" x14ac:dyDescent="0.25">
      <c r="A321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250227-EVE008</v>
      </c>
      <c r="B3211" s="1" t="str">
        <f>TEXT(Coffee_sales_clean[[#This Row],[Transaction Date]],"dddd")</f>
        <v>Thursday</v>
      </c>
      <c r="C3211" s="12">
        <v>45715</v>
      </c>
      <c r="D3211" s="4">
        <v>0.80156969907407405</v>
      </c>
      <c r="E321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11" t="s">
        <v>0</v>
      </c>
      <c r="G3211" s="2">
        <v>35.76</v>
      </c>
    </row>
    <row r="3212" spans="1:7" x14ac:dyDescent="0.25">
      <c r="A321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250227-LAT001</v>
      </c>
      <c r="B3212" s="1" t="str">
        <f>TEXT(Coffee_sales_clean[[#This Row],[Transaction Date]],"dddd")</f>
        <v>Thursday</v>
      </c>
      <c r="C3212" s="12">
        <v>45715</v>
      </c>
      <c r="D3212" s="4">
        <v>0.83480563657407403</v>
      </c>
      <c r="E321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Late Night</v>
      </c>
      <c r="F3212" t="s">
        <v>7</v>
      </c>
      <c r="G3212" s="2">
        <v>35.76</v>
      </c>
    </row>
    <row r="3213" spans="1:7" x14ac:dyDescent="0.25">
      <c r="A321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250228-MOR001</v>
      </c>
      <c r="B3213" s="1" t="str">
        <f>TEXT(Coffee_sales_clean[[#This Row],[Transaction Date]],"dddd")</f>
        <v>Friday</v>
      </c>
      <c r="C3213" s="12">
        <v>45716</v>
      </c>
      <c r="D3213" s="4">
        <v>0.28663878472222221</v>
      </c>
      <c r="E321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213" t="s">
        <v>3</v>
      </c>
      <c r="G3213" s="2">
        <v>30.86</v>
      </c>
    </row>
    <row r="3214" spans="1:7" x14ac:dyDescent="0.25">
      <c r="A321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250228-MOR002</v>
      </c>
      <c r="B3214" s="1" t="str">
        <f>TEXT(Coffee_sales_clean[[#This Row],[Transaction Date]],"dddd")</f>
        <v>Friday</v>
      </c>
      <c r="C3214" s="12">
        <v>45716</v>
      </c>
      <c r="D3214" s="4">
        <v>0.28819413194444443</v>
      </c>
      <c r="E321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214" t="s">
        <v>3</v>
      </c>
      <c r="G3214" s="2">
        <v>30.86</v>
      </c>
    </row>
    <row r="3215" spans="1:7" x14ac:dyDescent="0.25">
      <c r="A321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250228-MOR003</v>
      </c>
      <c r="B3215" s="1" t="str">
        <f>TEXT(Coffee_sales_clean[[#This Row],[Transaction Date]],"dddd")</f>
        <v>Friday</v>
      </c>
      <c r="C3215" s="12">
        <v>45716</v>
      </c>
      <c r="D3215" s="4">
        <v>0.30459398148148148</v>
      </c>
      <c r="E321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215" t="s">
        <v>7</v>
      </c>
      <c r="G3215" s="2">
        <v>35.76</v>
      </c>
    </row>
    <row r="3216" spans="1:7" x14ac:dyDescent="0.25">
      <c r="A321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250228-MOR004</v>
      </c>
      <c r="B3216" s="1" t="str">
        <f>TEXT(Coffee_sales_clean[[#This Row],[Transaction Date]],"dddd")</f>
        <v>Friday</v>
      </c>
      <c r="C3216" s="12">
        <v>45716</v>
      </c>
      <c r="D3216" s="4">
        <v>0.34025212962962964</v>
      </c>
      <c r="E321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216" t="s">
        <v>6</v>
      </c>
      <c r="G3216" s="2">
        <v>21.06</v>
      </c>
    </row>
    <row r="3217" spans="1:7" x14ac:dyDescent="0.25">
      <c r="A321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250228-MOR005</v>
      </c>
      <c r="B3217" s="1" t="str">
        <f>TEXT(Coffee_sales_clean[[#This Row],[Transaction Date]],"dddd")</f>
        <v>Friday</v>
      </c>
      <c r="C3217" s="12">
        <v>45716</v>
      </c>
      <c r="D3217" s="4">
        <v>0.37682940972222223</v>
      </c>
      <c r="E321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Morning Rush</v>
      </c>
      <c r="F3217" t="s">
        <v>3</v>
      </c>
      <c r="G3217" s="2">
        <v>30.86</v>
      </c>
    </row>
    <row r="3218" spans="1:7" x14ac:dyDescent="0.25">
      <c r="A321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250228-AFT001</v>
      </c>
      <c r="B3218" s="1" t="str">
        <f>TEXT(Coffee_sales_clean[[#This Row],[Transaction Date]],"dddd")</f>
        <v>Friday</v>
      </c>
      <c r="C3218" s="12">
        <v>45716</v>
      </c>
      <c r="D3218" s="4">
        <v>0.61421427083333335</v>
      </c>
      <c r="E321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18" t="s">
        <v>2</v>
      </c>
      <c r="G3218" s="2">
        <v>25.96</v>
      </c>
    </row>
    <row r="3219" spans="1:7" x14ac:dyDescent="0.25">
      <c r="A321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250228-AFT002</v>
      </c>
      <c r="B3219" s="1" t="str">
        <f>TEXT(Coffee_sales_clean[[#This Row],[Transaction Date]],"dddd")</f>
        <v>Friday</v>
      </c>
      <c r="C3219" s="12">
        <v>45716</v>
      </c>
      <c r="D3219" s="4">
        <v>0.61483824074074078</v>
      </c>
      <c r="E321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19" t="s">
        <v>2</v>
      </c>
      <c r="G3219" s="2">
        <v>25.96</v>
      </c>
    </row>
    <row r="3220" spans="1:7" x14ac:dyDescent="0.25">
      <c r="A3220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250228-AFT003</v>
      </c>
      <c r="B3220" s="1" t="str">
        <f>TEXT(Coffee_sales_clean[[#This Row],[Transaction Date]],"dddd")</f>
        <v>Friday</v>
      </c>
      <c r="C3220" s="12">
        <v>45716</v>
      </c>
      <c r="D3220" s="4">
        <v>0.61657803240740738</v>
      </c>
      <c r="E3220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20" t="s">
        <v>2</v>
      </c>
      <c r="G3220" s="2">
        <v>25.96</v>
      </c>
    </row>
    <row r="3221" spans="1:7" x14ac:dyDescent="0.25">
      <c r="A3221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250228-AFT004</v>
      </c>
      <c r="B3221" s="1" t="str">
        <f>TEXT(Coffee_sales_clean[[#This Row],[Transaction Date]],"dddd")</f>
        <v>Friday</v>
      </c>
      <c r="C3221" s="12">
        <v>45716</v>
      </c>
      <c r="D3221" s="4">
        <v>0.61947001157407411</v>
      </c>
      <c r="E3221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21" t="s">
        <v>0</v>
      </c>
      <c r="G3221" s="2">
        <v>35.76</v>
      </c>
    </row>
    <row r="3222" spans="1:7" x14ac:dyDescent="0.25">
      <c r="A3222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250228-AFT005</v>
      </c>
      <c r="B3222" s="1" t="str">
        <f>TEXT(Coffee_sales_clean[[#This Row],[Transaction Date]],"dddd")</f>
        <v>Friday</v>
      </c>
      <c r="C3222" s="12">
        <v>45716</v>
      </c>
      <c r="D3222" s="4">
        <v>0.6384105902777778</v>
      </c>
      <c r="E3222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22" t="s">
        <v>2</v>
      </c>
      <c r="G3222" s="2">
        <v>25.96</v>
      </c>
    </row>
    <row r="3223" spans="1:7" x14ac:dyDescent="0.25">
      <c r="A3223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250228-AFT006</v>
      </c>
      <c r="B3223" s="1" t="str">
        <f>TEXT(Coffee_sales_clean[[#This Row],[Transaction Date]],"dddd")</f>
        <v>Friday</v>
      </c>
      <c r="C3223" s="12">
        <v>45716</v>
      </c>
      <c r="D3223" s="4">
        <v>0.68226134259259263</v>
      </c>
      <c r="E3223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23" t="s">
        <v>4</v>
      </c>
      <c r="G3223" s="2">
        <v>35.76</v>
      </c>
    </row>
    <row r="3224" spans="1:7" x14ac:dyDescent="0.25">
      <c r="A3224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250228-AFT007</v>
      </c>
      <c r="B3224" s="1" t="str">
        <f>TEXT(Coffee_sales_clean[[#This Row],[Transaction Date]],"dddd")</f>
        <v>Friday</v>
      </c>
      <c r="C3224" s="12">
        <v>45716</v>
      </c>
      <c r="D3224" s="4">
        <v>0.68757748842592592</v>
      </c>
      <c r="E3224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Afternoon Slump</v>
      </c>
      <c r="F3224" t="s">
        <v>2</v>
      </c>
      <c r="G3224" s="2">
        <v>25.96</v>
      </c>
    </row>
    <row r="3225" spans="1:7" x14ac:dyDescent="0.25">
      <c r="A3225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250228-EVE001</v>
      </c>
      <c r="B3225" s="1" t="str">
        <f>TEXT(Coffee_sales_clean[[#This Row],[Transaction Date]],"dddd")</f>
        <v>Friday</v>
      </c>
      <c r="C3225" s="12">
        <v>45716</v>
      </c>
      <c r="D3225" s="4">
        <v>0.72292695601851853</v>
      </c>
      <c r="E3225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25" t="s">
        <v>0</v>
      </c>
      <c r="G3225" s="2">
        <v>35.76</v>
      </c>
    </row>
    <row r="3226" spans="1:7" x14ac:dyDescent="0.25">
      <c r="A3226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250228-EVE002</v>
      </c>
      <c r="B3226" s="1" t="str">
        <f>TEXT(Coffee_sales_clean[[#This Row],[Transaction Date]],"dddd")</f>
        <v>Friday</v>
      </c>
      <c r="C3226" s="12">
        <v>45716</v>
      </c>
      <c r="D3226" s="4">
        <v>0.72991142361111117</v>
      </c>
      <c r="E3226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26" t="s">
        <v>3</v>
      </c>
      <c r="G3226" s="2">
        <v>30.86</v>
      </c>
    </row>
    <row r="3227" spans="1:7" x14ac:dyDescent="0.25">
      <c r="A3227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250228-EVE003</v>
      </c>
      <c r="B3227" s="1" t="str">
        <f>TEXT(Coffee_sales_clean[[#This Row],[Transaction Date]],"dddd")</f>
        <v>Friday</v>
      </c>
      <c r="C3227" s="12">
        <v>45716</v>
      </c>
      <c r="D3227" s="4">
        <v>0.73074805555555555</v>
      </c>
      <c r="E3227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27" t="s">
        <v>2</v>
      </c>
      <c r="G3227" s="2">
        <v>25.96</v>
      </c>
    </row>
    <row r="3228" spans="1:7" x14ac:dyDescent="0.25">
      <c r="A3228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250228-EVE004</v>
      </c>
      <c r="B3228" s="1" t="str">
        <f>TEXT(Coffee_sales_clean[[#This Row],[Transaction Date]],"dddd")</f>
        <v>Friday</v>
      </c>
      <c r="C3228" s="12">
        <v>45716</v>
      </c>
      <c r="D3228" s="4">
        <v>0.73181884259259256</v>
      </c>
      <c r="E3228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28" t="s">
        <v>2</v>
      </c>
      <c r="G3228" s="2">
        <v>25.96</v>
      </c>
    </row>
    <row r="3229" spans="1:7" x14ac:dyDescent="0.25">
      <c r="A3229" s="1" t="str">
        <f>TEXT(Coffee_sales_clean[[#This Row],[Transaction Date]],"yymmdd")&amp;"-"&amp;UPPER(LEFT(Coffee_sales_clean[[#This Row],[Period]],3))&amp;TEXT(COUNTIFS($C$2:Coffee_sales_clean[[#This Row],[Transaction Date]],Coffee_sales_clean[[#This Row],[Transaction Date]],$E$2:Coffee_sales_clean[[#This Row],[Period]],Coffee_sales_clean[[#This Row],[Period]]),"000")</f>
        <v>250228-EVE005</v>
      </c>
      <c r="B3229" s="1" t="str">
        <f>TEXT(Coffee_sales_clean[[#This Row],[Transaction Date]],"dddd")</f>
        <v>Friday</v>
      </c>
      <c r="C3229" s="12">
        <v>45716</v>
      </c>
      <c r="D3229" s="4">
        <v>0.78737832175925926</v>
      </c>
      <c r="E3229" t="str">
        <f>IF(HOUR(Coffee_sales_clean[[#This Row],[Transaction Time]])&lt;11,"Morning Rush",IF(HOUR(Coffee_sales_clean[[#This Row],[Transaction Time]])&lt;14,"Lunch Break",IF(HOUR(Coffee_sales_clean[[#This Row],[Transaction Time]])&lt;17,"Afternoon Slump",IF(HOUR(Coffee_sales_clean[[#This Row],[Transaction Time]])&lt;20,"Evening","Late Night"))))</f>
        <v>Evening</v>
      </c>
      <c r="F3229" t="s">
        <v>0</v>
      </c>
      <c r="G3229" s="2">
        <v>35.76</v>
      </c>
    </row>
    <row r="3230" spans="1:7" x14ac:dyDescent="0.25">
      <c r="G3230"/>
    </row>
    <row r="3231" spans="1:7" x14ac:dyDescent="0.25">
      <c r="G3231"/>
    </row>
    <row r="3232" spans="1:7" x14ac:dyDescent="0.25">
      <c r="G3232"/>
    </row>
    <row r="3233" spans="7:7" x14ac:dyDescent="0.25">
      <c r="G3233"/>
    </row>
    <row r="3234" spans="7:7" x14ac:dyDescent="0.25">
      <c r="G3234"/>
    </row>
    <row r="3235" spans="7:7" x14ac:dyDescent="0.25">
      <c r="G3235"/>
    </row>
    <row r="3236" spans="7:7" x14ac:dyDescent="0.25">
      <c r="G3236"/>
    </row>
    <row r="3237" spans="7:7" x14ac:dyDescent="0.25">
      <c r="G3237"/>
    </row>
    <row r="3238" spans="7:7" x14ac:dyDescent="0.25">
      <c r="G3238"/>
    </row>
    <row r="3239" spans="7:7" x14ac:dyDescent="0.25">
      <c r="G3239"/>
    </row>
    <row r="3240" spans="7:7" x14ac:dyDescent="0.25">
      <c r="G3240"/>
    </row>
    <row r="3241" spans="7:7" x14ac:dyDescent="0.25">
      <c r="G3241"/>
    </row>
    <row r="3242" spans="7:7" x14ac:dyDescent="0.25">
      <c r="G3242"/>
    </row>
    <row r="3243" spans="7:7" x14ac:dyDescent="0.25">
      <c r="G3243"/>
    </row>
    <row r="3244" spans="7:7" x14ac:dyDescent="0.25">
      <c r="G3244"/>
    </row>
    <row r="3245" spans="7:7" x14ac:dyDescent="0.25">
      <c r="G3245"/>
    </row>
    <row r="3246" spans="7:7" x14ac:dyDescent="0.25">
      <c r="G3246"/>
    </row>
    <row r="3247" spans="7:7" x14ac:dyDescent="0.25">
      <c r="G3247"/>
    </row>
    <row r="3248" spans="7:7" x14ac:dyDescent="0.25">
      <c r="G3248"/>
    </row>
    <row r="3249" spans="7:7" x14ac:dyDescent="0.25">
      <c r="G3249"/>
    </row>
    <row r="3250" spans="7:7" x14ac:dyDescent="0.25">
      <c r="G3250"/>
    </row>
    <row r="3251" spans="7:7" x14ac:dyDescent="0.25">
      <c r="G3251"/>
    </row>
    <row r="3252" spans="7:7" x14ac:dyDescent="0.25">
      <c r="G3252"/>
    </row>
    <row r="3253" spans="7:7" x14ac:dyDescent="0.25">
      <c r="G3253"/>
    </row>
    <row r="3254" spans="7:7" x14ac:dyDescent="0.25">
      <c r="G3254"/>
    </row>
    <row r="3255" spans="7:7" x14ac:dyDescent="0.25">
      <c r="G3255"/>
    </row>
    <row r="3256" spans="7:7" x14ac:dyDescent="0.25">
      <c r="G3256"/>
    </row>
    <row r="3257" spans="7:7" x14ac:dyDescent="0.25">
      <c r="G3257"/>
    </row>
    <row r="3258" spans="7:7" x14ac:dyDescent="0.25">
      <c r="G3258"/>
    </row>
    <row r="3259" spans="7:7" x14ac:dyDescent="0.25">
      <c r="G3259"/>
    </row>
    <row r="3260" spans="7:7" x14ac:dyDescent="0.25">
      <c r="G3260"/>
    </row>
    <row r="3261" spans="7:7" x14ac:dyDescent="0.25">
      <c r="G3261"/>
    </row>
    <row r="3262" spans="7:7" x14ac:dyDescent="0.25">
      <c r="G3262"/>
    </row>
    <row r="3263" spans="7:7" x14ac:dyDescent="0.25">
      <c r="G3263"/>
    </row>
    <row r="3264" spans="7:7" x14ac:dyDescent="0.25">
      <c r="G3264"/>
    </row>
    <row r="3265" spans="7:7" x14ac:dyDescent="0.25">
      <c r="G3265"/>
    </row>
    <row r="3266" spans="7:7" x14ac:dyDescent="0.25">
      <c r="G3266"/>
    </row>
    <row r="3267" spans="7:7" x14ac:dyDescent="0.25">
      <c r="G3267"/>
    </row>
    <row r="3268" spans="7:7" x14ac:dyDescent="0.25">
      <c r="G3268"/>
    </row>
    <row r="3269" spans="7:7" x14ac:dyDescent="0.25">
      <c r="G3269"/>
    </row>
    <row r="3270" spans="7:7" x14ac:dyDescent="0.25">
      <c r="G3270"/>
    </row>
    <row r="3271" spans="7:7" x14ac:dyDescent="0.25">
      <c r="G3271"/>
    </row>
    <row r="3272" spans="7:7" x14ac:dyDescent="0.25">
      <c r="G3272"/>
    </row>
    <row r="3273" spans="7:7" x14ac:dyDescent="0.25">
      <c r="G3273"/>
    </row>
    <row r="3274" spans="7:7" x14ac:dyDescent="0.25">
      <c r="G3274"/>
    </row>
    <row r="3275" spans="7:7" x14ac:dyDescent="0.25">
      <c r="G3275"/>
    </row>
    <row r="3276" spans="7:7" x14ac:dyDescent="0.25">
      <c r="G3276"/>
    </row>
    <row r="3277" spans="7:7" x14ac:dyDescent="0.25">
      <c r="G3277"/>
    </row>
    <row r="3278" spans="7:7" x14ac:dyDescent="0.25">
      <c r="G3278"/>
    </row>
    <row r="3279" spans="7:7" x14ac:dyDescent="0.25">
      <c r="G3279"/>
    </row>
    <row r="3280" spans="7:7" x14ac:dyDescent="0.25">
      <c r="G3280"/>
    </row>
    <row r="3281" spans="7:7" x14ac:dyDescent="0.25">
      <c r="G3281"/>
    </row>
    <row r="3282" spans="7:7" x14ac:dyDescent="0.25">
      <c r="G3282"/>
    </row>
    <row r="3283" spans="7:7" x14ac:dyDescent="0.25">
      <c r="G3283"/>
    </row>
    <row r="3284" spans="7:7" x14ac:dyDescent="0.25">
      <c r="G3284"/>
    </row>
    <row r="3285" spans="7:7" x14ac:dyDescent="0.25">
      <c r="G3285"/>
    </row>
    <row r="3286" spans="7:7" x14ac:dyDescent="0.25">
      <c r="G3286"/>
    </row>
    <row r="3287" spans="7:7" x14ac:dyDescent="0.25">
      <c r="G3287"/>
    </row>
    <row r="3288" spans="7:7" x14ac:dyDescent="0.25">
      <c r="G3288"/>
    </row>
    <row r="3289" spans="7:7" x14ac:dyDescent="0.25">
      <c r="G3289"/>
    </row>
    <row r="3290" spans="7:7" x14ac:dyDescent="0.25">
      <c r="G3290"/>
    </row>
    <row r="3291" spans="7:7" x14ac:dyDescent="0.25">
      <c r="G3291"/>
    </row>
    <row r="3292" spans="7:7" x14ac:dyDescent="0.25">
      <c r="G3292"/>
    </row>
    <row r="3293" spans="7:7" x14ac:dyDescent="0.25">
      <c r="G3293"/>
    </row>
    <row r="3294" spans="7:7" x14ac:dyDescent="0.25">
      <c r="G3294"/>
    </row>
    <row r="3295" spans="7:7" x14ac:dyDescent="0.25">
      <c r="G3295"/>
    </row>
    <row r="3296" spans="7:7" x14ac:dyDescent="0.25">
      <c r="G3296"/>
    </row>
    <row r="3297" spans="7:7" x14ac:dyDescent="0.25">
      <c r="G3297"/>
    </row>
    <row r="3298" spans="7:7" x14ac:dyDescent="0.25">
      <c r="G3298"/>
    </row>
    <row r="3299" spans="7:7" x14ac:dyDescent="0.25">
      <c r="G3299"/>
    </row>
    <row r="3300" spans="7:7" x14ac:dyDescent="0.25">
      <c r="G3300"/>
    </row>
    <row r="3301" spans="7:7" x14ac:dyDescent="0.25">
      <c r="G3301"/>
    </row>
    <row r="3302" spans="7:7" x14ac:dyDescent="0.25">
      <c r="G3302"/>
    </row>
    <row r="3303" spans="7:7" x14ac:dyDescent="0.25">
      <c r="G3303"/>
    </row>
    <row r="3304" spans="7:7" x14ac:dyDescent="0.25">
      <c r="G3304"/>
    </row>
    <row r="3305" spans="7:7" x14ac:dyDescent="0.25">
      <c r="G3305"/>
    </row>
    <row r="3306" spans="7:7" x14ac:dyDescent="0.25">
      <c r="G3306"/>
    </row>
    <row r="3307" spans="7:7" x14ac:dyDescent="0.25">
      <c r="G3307"/>
    </row>
    <row r="3308" spans="7:7" x14ac:dyDescent="0.25">
      <c r="G3308"/>
    </row>
    <row r="3309" spans="7:7" x14ac:dyDescent="0.25">
      <c r="G3309"/>
    </row>
    <row r="3310" spans="7:7" x14ac:dyDescent="0.25">
      <c r="G3310"/>
    </row>
    <row r="3311" spans="7:7" x14ac:dyDescent="0.25">
      <c r="G3311"/>
    </row>
    <row r="3312" spans="7:7" x14ac:dyDescent="0.25">
      <c r="G3312"/>
    </row>
    <row r="3313" spans="7:7" x14ac:dyDescent="0.25">
      <c r="G3313"/>
    </row>
    <row r="3314" spans="7:7" x14ac:dyDescent="0.25">
      <c r="G3314"/>
    </row>
    <row r="3315" spans="7:7" x14ac:dyDescent="0.25">
      <c r="G3315"/>
    </row>
    <row r="3316" spans="7:7" x14ac:dyDescent="0.25">
      <c r="G3316"/>
    </row>
    <row r="3317" spans="7:7" x14ac:dyDescent="0.25">
      <c r="G3317"/>
    </row>
    <row r="3318" spans="7:7" x14ac:dyDescent="0.25">
      <c r="G3318"/>
    </row>
    <row r="3319" spans="7:7" x14ac:dyDescent="0.25">
      <c r="G3319"/>
    </row>
    <row r="3320" spans="7:7" x14ac:dyDescent="0.25">
      <c r="G3320"/>
    </row>
    <row r="3321" spans="7:7" x14ac:dyDescent="0.25">
      <c r="G3321"/>
    </row>
    <row r="3322" spans="7:7" x14ac:dyDescent="0.25">
      <c r="G3322"/>
    </row>
    <row r="3323" spans="7:7" x14ac:dyDescent="0.25">
      <c r="G3323"/>
    </row>
    <row r="3324" spans="7:7" x14ac:dyDescent="0.25">
      <c r="G3324"/>
    </row>
    <row r="3325" spans="7:7" x14ac:dyDescent="0.25">
      <c r="G3325"/>
    </row>
    <row r="3326" spans="7:7" x14ac:dyDescent="0.25">
      <c r="G3326"/>
    </row>
    <row r="3327" spans="7:7" x14ac:dyDescent="0.25">
      <c r="G3327"/>
    </row>
    <row r="3328" spans="7:7" x14ac:dyDescent="0.25">
      <c r="G3328"/>
    </row>
    <row r="3329" spans="7:7" x14ac:dyDescent="0.25">
      <c r="G3329"/>
    </row>
    <row r="3330" spans="7:7" x14ac:dyDescent="0.25">
      <c r="G3330"/>
    </row>
    <row r="3331" spans="7:7" x14ac:dyDescent="0.25">
      <c r="G3331"/>
    </row>
    <row r="3332" spans="7:7" x14ac:dyDescent="0.25">
      <c r="G3332"/>
    </row>
    <row r="3333" spans="7:7" x14ac:dyDescent="0.25">
      <c r="G3333"/>
    </row>
    <row r="3334" spans="7:7" x14ac:dyDescent="0.25">
      <c r="G3334"/>
    </row>
    <row r="3335" spans="7:7" x14ac:dyDescent="0.25">
      <c r="G3335"/>
    </row>
    <row r="3336" spans="7:7" x14ac:dyDescent="0.25">
      <c r="G3336"/>
    </row>
    <row r="3337" spans="7:7" x14ac:dyDescent="0.25">
      <c r="G3337"/>
    </row>
    <row r="3338" spans="7:7" x14ac:dyDescent="0.25">
      <c r="G3338"/>
    </row>
    <row r="3339" spans="7:7" x14ac:dyDescent="0.25">
      <c r="G3339"/>
    </row>
    <row r="3340" spans="7:7" x14ac:dyDescent="0.25">
      <c r="G3340"/>
    </row>
    <row r="3341" spans="7:7" x14ac:dyDescent="0.25">
      <c r="G3341"/>
    </row>
    <row r="3342" spans="7:7" x14ac:dyDescent="0.25">
      <c r="G3342"/>
    </row>
    <row r="3343" spans="7:7" x14ac:dyDescent="0.25">
      <c r="G3343"/>
    </row>
    <row r="3344" spans="7:7" x14ac:dyDescent="0.25">
      <c r="G3344"/>
    </row>
    <row r="3345" spans="7:7" x14ac:dyDescent="0.25">
      <c r="G3345"/>
    </row>
    <row r="3346" spans="7:7" x14ac:dyDescent="0.25">
      <c r="G3346"/>
    </row>
    <row r="3347" spans="7:7" x14ac:dyDescent="0.25">
      <c r="G3347"/>
    </row>
    <row r="3348" spans="7:7" x14ac:dyDescent="0.25">
      <c r="G3348"/>
    </row>
    <row r="3349" spans="7:7" x14ac:dyDescent="0.25">
      <c r="G3349"/>
    </row>
    <row r="3350" spans="7:7" x14ac:dyDescent="0.25">
      <c r="G3350"/>
    </row>
    <row r="3351" spans="7:7" x14ac:dyDescent="0.25">
      <c r="G3351"/>
    </row>
    <row r="3352" spans="7:7" x14ac:dyDescent="0.25">
      <c r="G3352"/>
    </row>
    <row r="3353" spans="7:7" x14ac:dyDescent="0.25">
      <c r="G3353"/>
    </row>
    <row r="3354" spans="7:7" x14ac:dyDescent="0.25">
      <c r="G3354"/>
    </row>
    <row r="3355" spans="7:7" x14ac:dyDescent="0.25">
      <c r="G3355"/>
    </row>
    <row r="3356" spans="7:7" x14ac:dyDescent="0.25">
      <c r="G3356"/>
    </row>
    <row r="3357" spans="7:7" x14ac:dyDescent="0.25">
      <c r="G3357"/>
    </row>
    <row r="3358" spans="7:7" x14ac:dyDescent="0.25">
      <c r="G3358"/>
    </row>
    <row r="3359" spans="7:7" x14ac:dyDescent="0.25">
      <c r="G3359"/>
    </row>
    <row r="3360" spans="7:7" x14ac:dyDescent="0.25">
      <c r="G3360"/>
    </row>
    <row r="3361" spans="7:7" x14ac:dyDescent="0.25">
      <c r="G3361"/>
    </row>
    <row r="3362" spans="7:7" x14ac:dyDescent="0.25">
      <c r="G3362"/>
    </row>
    <row r="3363" spans="7:7" x14ac:dyDescent="0.25">
      <c r="G3363"/>
    </row>
    <row r="3364" spans="7:7" x14ac:dyDescent="0.25">
      <c r="G3364"/>
    </row>
    <row r="3365" spans="7:7" x14ac:dyDescent="0.25">
      <c r="G3365"/>
    </row>
    <row r="3366" spans="7:7" x14ac:dyDescent="0.25">
      <c r="G3366"/>
    </row>
    <row r="3367" spans="7:7" x14ac:dyDescent="0.25">
      <c r="G3367"/>
    </row>
    <row r="3368" spans="7:7" x14ac:dyDescent="0.25">
      <c r="G3368"/>
    </row>
    <row r="3369" spans="7:7" x14ac:dyDescent="0.25">
      <c r="G3369"/>
    </row>
    <row r="3370" spans="7:7" x14ac:dyDescent="0.25">
      <c r="G3370"/>
    </row>
    <row r="3371" spans="7:7" x14ac:dyDescent="0.25">
      <c r="G3371"/>
    </row>
    <row r="3372" spans="7:7" x14ac:dyDescent="0.25">
      <c r="G3372"/>
    </row>
    <row r="3373" spans="7:7" x14ac:dyDescent="0.25">
      <c r="G3373"/>
    </row>
    <row r="3374" spans="7:7" x14ac:dyDescent="0.25">
      <c r="G3374"/>
    </row>
    <row r="3375" spans="7:7" x14ac:dyDescent="0.25">
      <c r="G3375"/>
    </row>
    <row r="3376" spans="7:7" x14ac:dyDescent="0.25">
      <c r="G3376"/>
    </row>
    <row r="3377" spans="7:7" x14ac:dyDescent="0.25">
      <c r="G3377"/>
    </row>
    <row r="3378" spans="7:7" x14ac:dyDescent="0.25">
      <c r="G3378"/>
    </row>
    <row r="3379" spans="7:7" x14ac:dyDescent="0.25">
      <c r="G3379"/>
    </row>
    <row r="3380" spans="7:7" x14ac:dyDescent="0.25">
      <c r="G3380"/>
    </row>
    <row r="3381" spans="7:7" x14ac:dyDescent="0.25">
      <c r="G3381"/>
    </row>
    <row r="3382" spans="7:7" x14ac:dyDescent="0.25">
      <c r="G3382"/>
    </row>
    <row r="3383" spans="7:7" x14ac:dyDescent="0.25">
      <c r="G3383"/>
    </row>
    <row r="3384" spans="7:7" x14ac:dyDescent="0.25">
      <c r="G3384"/>
    </row>
    <row r="3385" spans="7:7" x14ac:dyDescent="0.25">
      <c r="G3385"/>
    </row>
    <row r="3386" spans="7:7" x14ac:dyDescent="0.25">
      <c r="G3386"/>
    </row>
    <row r="3387" spans="7:7" x14ac:dyDescent="0.25">
      <c r="G3387"/>
    </row>
    <row r="3388" spans="7:7" x14ac:dyDescent="0.25">
      <c r="G3388"/>
    </row>
    <row r="3389" spans="7:7" x14ac:dyDescent="0.25">
      <c r="G3389"/>
    </row>
    <row r="3390" spans="7:7" x14ac:dyDescent="0.25">
      <c r="G3390"/>
    </row>
    <row r="3391" spans="7:7" x14ac:dyDescent="0.25">
      <c r="G3391"/>
    </row>
    <row r="3392" spans="7:7" x14ac:dyDescent="0.25">
      <c r="G3392"/>
    </row>
    <row r="3393" spans="7:7" x14ac:dyDescent="0.25">
      <c r="G3393"/>
    </row>
    <row r="3394" spans="7:7" x14ac:dyDescent="0.25">
      <c r="G3394"/>
    </row>
    <row r="3395" spans="7:7" x14ac:dyDescent="0.25">
      <c r="G3395"/>
    </row>
    <row r="3396" spans="7:7" x14ac:dyDescent="0.25">
      <c r="G3396"/>
    </row>
    <row r="3397" spans="7:7" x14ac:dyDescent="0.25">
      <c r="G3397"/>
    </row>
    <row r="3398" spans="7:7" x14ac:dyDescent="0.25">
      <c r="G3398"/>
    </row>
    <row r="3399" spans="7:7" x14ac:dyDescent="0.25">
      <c r="G3399"/>
    </row>
    <row r="3400" spans="7:7" x14ac:dyDescent="0.25">
      <c r="G3400"/>
    </row>
    <row r="3401" spans="7:7" x14ac:dyDescent="0.25">
      <c r="G3401"/>
    </row>
    <row r="3402" spans="7:7" x14ac:dyDescent="0.25">
      <c r="G3402"/>
    </row>
    <row r="3403" spans="7:7" x14ac:dyDescent="0.25">
      <c r="G3403"/>
    </row>
    <row r="3404" spans="7:7" x14ac:dyDescent="0.25">
      <c r="G3404"/>
    </row>
    <row r="3405" spans="7:7" x14ac:dyDescent="0.25">
      <c r="G3405"/>
    </row>
    <row r="3406" spans="7:7" x14ac:dyDescent="0.25">
      <c r="G3406"/>
    </row>
    <row r="3407" spans="7:7" x14ac:dyDescent="0.25">
      <c r="G3407"/>
    </row>
    <row r="3408" spans="7:7" x14ac:dyDescent="0.25">
      <c r="G3408"/>
    </row>
    <row r="3409" spans="7:7" x14ac:dyDescent="0.25">
      <c r="G3409"/>
    </row>
    <row r="3410" spans="7:7" x14ac:dyDescent="0.25">
      <c r="G3410"/>
    </row>
    <row r="3411" spans="7:7" x14ac:dyDescent="0.25">
      <c r="G3411"/>
    </row>
    <row r="3412" spans="7:7" x14ac:dyDescent="0.25">
      <c r="G3412"/>
    </row>
    <row r="3413" spans="7:7" x14ac:dyDescent="0.25">
      <c r="G3413"/>
    </row>
    <row r="3414" spans="7:7" x14ac:dyDescent="0.25">
      <c r="G3414"/>
    </row>
    <row r="3415" spans="7:7" x14ac:dyDescent="0.25">
      <c r="G3415"/>
    </row>
    <row r="3416" spans="7:7" x14ac:dyDescent="0.25">
      <c r="G3416"/>
    </row>
    <row r="3417" spans="7:7" x14ac:dyDescent="0.25">
      <c r="G3417"/>
    </row>
    <row r="3418" spans="7:7" x14ac:dyDescent="0.25">
      <c r="G3418"/>
    </row>
    <row r="3419" spans="7:7" x14ac:dyDescent="0.25">
      <c r="G3419"/>
    </row>
    <row r="3420" spans="7:7" x14ac:dyDescent="0.25">
      <c r="G3420"/>
    </row>
    <row r="3421" spans="7:7" x14ac:dyDescent="0.25">
      <c r="G3421"/>
    </row>
    <row r="3422" spans="7:7" x14ac:dyDescent="0.25">
      <c r="G3422"/>
    </row>
    <row r="3423" spans="7:7" x14ac:dyDescent="0.25">
      <c r="G3423"/>
    </row>
    <row r="3424" spans="7:7" x14ac:dyDescent="0.25">
      <c r="G3424"/>
    </row>
    <row r="3425" spans="7:7" x14ac:dyDescent="0.25">
      <c r="G3425"/>
    </row>
    <row r="3426" spans="7:7" x14ac:dyDescent="0.25">
      <c r="G3426"/>
    </row>
    <row r="3427" spans="7:7" x14ac:dyDescent="0.25">
      <c r="G3427"/>
    </row>
    <row r="3428" spans="7:7" x14ac:dyDescent="0.25">
      <c r="G3428"/>
    </row>
    <row r="3429" spans="7:7" x14ac:dyDescent="0.25">
      <c r="G3429"/>
    </row>
    <row r="3430" spans="7:7" x14ac:dyDescent="0.25">
      <c r="G3430"/>
    </row>
    <row r="3431" spans="7:7" x14ac:dyDescent="0.25">
      <c r="G3431"/>
    </row>
    <row r="3432" spans="7:7" x14ac:dyDescent="0.25">
      <c r="G3432"/>
    </row>
    <row r="3433" spans="7:7" x14ac:dyDescent="0.25">
      <c r="G3433"/>
    </row>
    <row r="3434" spans="7:7" x14ac:dyDescent="0.25">
      <c r="G3434"/>
    </row>
    <row r="3435" spans="7:7" x14ac:dyDescent="0.25">
      <c r="G3435"/>
    </row>
    <row r="3436" spans="7:7" x14ac:dyDescent="0.25">
      <c r="G3436"/>
    </row>
    <row r="3437" spans="7:7" x14ac:dyDescent="0.25">
      <c r="G3437"/>
    </row>
    <row r="3438" spans="7:7" x14ac:dyDescent="0.25">
      <c r="G3438"/>
    </row>
    <row r="3439" spans="7:7" x14ac:dyDescent="0.25">
      <c r="G3439"/>
    </row>
    <row r="3440" spans="7:7" x14ac:dyDescent="0.25">
      <c r="G3440"/>
    </row>
    <row r="3441" spans="7:7" x14ac:dyDescent="0.25">
      <c r="G3441"/>
    </row>
    <row r="3442" spans="7:7" x14ac:dyDescent="0.25">
      <c r="G3442"/>
    </row>
    <row r="3443" spans="7:7" x14ac:dyDescent="0.25">
      <c r="G3443"/>
    </row>
    <row r="3444" spans="7:7" x14ac:dyDescent="0.25">
      <c r="G3444"/>
    </row>
    <row r="3445" spans="7:7" x14ac:dyDescent="0.25">
      <c r="G3445"/>
    </row>
    <row r="3446" spans="7:7" x14ac:dyDescent="0.25">
      <c r="G3446"/>
    </row>
    <row r="3447" spans="7:7" x14ac:dyDescent="0.25">
      <c r="G3447"/>
    </row>
    <row r="3448" spans="7:7" x14ac:dyDescent="0.25">
      <c r="G3448"/>
    </row>
    <row r="3449" spans="7:7" x14ac:dyDescent="0.25">
      <c r="G3449"/>
    </row>
    <row r="3450" spans="7:7" x14ac:dyDescent="0.25">
      <c r="G3450"/>
    </row>
    <row r="3451" spans="7:7" x14ac:dyDescent="0.25">
      <c r="G3451"/>
    </row>
    <row r="3452" spans="7:7" x14ac:dyDescent="0.25">
      <c r="G3452"/>
    </row>
    <row r="3453" spans="7:7" x14ac:dyDescent="0.25">
      <c r="G3453"/>
    </row>
    <row r="3454" spans="7:7" x14ac:dyDescent="0.25">
      <c r="G3454"/>
    </row>
    <row r="3455" spans="7:7" x14ac:dyDescent="0.25">
      <c r="G3455"/>
    </row>
    <row r="3456" spans="7:7" x14ac:dyDescent="0.25">
      <c r="G3456"/>
    </row>
    <row r="3457" spans="7:7" x14ac:dyDescent="0.25">
      <c r="G3457"/>
    </row>
    <row r="3458" spans="7:7" x14ac:dyDescent="0.25">
      <c r="G3458"/>
    </row>
    <row r="3459" spans="7:7" x14ac:dyDescent="0.25">
      <c r="G3459"/>
    </row>
    <row r="3460" spans="7:7" x14ac:dyDescent="0.25">
      <c r="G3460"/>
    </row>
    <row r="3461" spans="7:7" x14ac:dyDescent="0.25">
      <c r="G3461"/>
    </row>
    <row r="3462" spans="7:7" x14ac:dyDescent="0.25">
      <c r="G3462"/>
    </row>
    <row r="3463" spans="7:7" x14ac:dyDescent="0.25">
      <c r="G3463"/>
    </row>
    <row r="3464" spans="7:7" x14ac:dyDescent="0.25">
      <c r="G3464"/>
    </row>
    <row r="3465" spans="7:7" x14ac:dyDescent="0.25">
      <c r="G3465"/>
    </row>
    <row r="3466" spans="7:7" x14ac:dyDescent="0.25">
      <c r="G3466"/>
    </row>
    <row r="3467" spans="7:7" x14ac:dyDescent="0.25">
      <c r="G3467"/>
    </row>
    <row r="3468" spans="7:7" x14ac:dyDescent="0.25">
      <c r="G3468"/>
    </row>
    <row r="3469" spans="7:7" x14ac:dyDescent="0.25">
      <c r="G3469"/>
    </row>
    <row r="3470" spans="7:7" x14ac:dyDescent="0.25">
      <c r="G3470"/>
    </row>
    <row r="3471" spans="7:7" x14ac:dyDescent="0.25">
      <c r="G3471"/>
    </row>
    <row r="3472" spans="7:7" x14ac:dyDescent="0.25">
      <c r="G3472"/>
    </row>
    <row r="3473" spans="7:7" x14ac:dyDescent="0.25">
      <c r="G3473"/>
    </row>
    <row r="3474" spans="7:7" x14ac:dyDescent="0.25">
      <c r="G3474"/>
    </row>
    <row r="3475" spans="7:7" x14ac:dyDescent="0.25">
      <c r="G3475"/>
    </row>
    <row r="3476" spans="7:7" x14ac:dyDescent="0.25">
      <c r="G3476"/>
    </row>
    <row r="3477" spans="7:7" x14ac:dyDescent="0.25">
      <c r="G3477"/>
    </row>
    <row r="3478" spans="7:7" x14ac:dyDescent="0.25">
      <c r="G3478"/>
    </row>
    <row r="3479" spans="7:7" x14ac:dyDescent="0.25">
      <c r="G3479"/>
    </row>
    <row r="3480" spans="7:7" x14ac:dyDescent="0.25">
      <c r="G3480"/>
    </row>
    <row r="3481" spans="7:7" x14ac:dyDescent="0.25">
      <c r="G3481"/>
    </row>
    <row r="3482" spans="7:7" x14ac:dyDescent="0.25">
      <c r="G3482"/>
    </row>
    <row r="3483" spans="7:7" x14ac:dyDescent="0.25">
      <c r="G3483"/>
    </row>
    <row r="3484" spans="7:7" x14ac:dyDescent="0.25">
      <c r="G3484"/>
    </row>
    <row r="3485" spans="7:7" x14ac:dyDescent="0.25">
      <c r="G3485"/>
    </row>
    <row r="3486" spans="7:7" x14ac:dyDescent="0.25">
      <c r="G3486"/>
    </row>
    <row r="3487" spans="7:7" x14ac:dyDescent="0.25">
      <c r="G3487"/>
    </row>
    <row r="3488" spans="7:7" x14ac:dyDescent="0.25">
      <c r="G3488"/>
    </row>
    <row r="3489" spans="7:7" x14ac:dyDescent="0.25">
      <c r="G3489"/>
    </row>
    <row r="3490" spans="7:7" x14ac:dyDescent="0.25">
      <c r="G3490"/>
    </row>
    <row r="3491" spans="7:7" x14ac:dyDescent="0.25">
      <c r="G3491"/>
    </row>
    <row r="3492" spans="7:7" x14ac:dyDescent="0.25">
      <c r="G3492"/>
    </row>
    <row r="3493" spans="7:7" x14ac:dyDescent="0.25">
      <c r="G3493"/>
    </row>
    <row r="3494" spans="7:7" x14ac:dyDescent="0.25">
      <c r="G3494"/>
    </row>
    <row r="3495" spans="7:7" x14ac:dyDescent="0.25">
      <c r="G3495"/>
    </row>
    <row r="3496" spans="7:7" x14ac:dyDescent="0.25">
      <c r="G3496"/>
    </row>
    <row r="3497" spans="7:7" x14ac:dyDescent="0.25">
      <c r="G3497"/>
    </row>
    <row r="3498" spans="7:7" x14ac:dyDescent="0.25">
      <c r="G3498"/>
    </row>
    <row r="3499" spans="7:7" x14ac:dyDescent="0.25">
      <c r="G3499"/>
    </row>
    <row r="3500" spans="7:7" x14ac:dyDescent="0.25">
      <c r="G3500"/>
    </row>
    <row r="3501" spans="7:7" x14ac:dyDescent="0.25">
      <c r="G3501"/>
    </row>
    <row r="3502" spans="7:7" x14ac:dyDescent="0.25">
      <c r="G3502"/>
    </row>
    <row r="3503" spans="7:7" x14ac:dyDescent="0.25">
      <c r="G3503"/>
    </row>
    <row r="3504" spans="7:7" x14ac:dyDescent="0.25">
      <c r="G3504"/>
    </row>
    <row r="3505" spans="7:7" x14ac:dyDescent="0.25">
      <c r="G3505"/>
    </row>
    <row r="3506" spans="7:7" x14ac:dyDescent="0.25">
      <c r="G3506"/>
    </row>
    <row r="3507" spans="7:7" x14ac:dyDescent="0.25">
      <c r="G3507"/>
    </row>
    <row r="3508" spans="7:7" x14ac:dyDescent="0.25">
      <c r="G3508"/>
    </row>
    <row r="3509" spans="7:7" x14ac:dyDescent="0.25">
      <c r="G3509"/>
    </row>
    <row r="3510" spans="7:7" x14ac:dyDescent="0.25">
      <c r="G3510"/>
    </row>
    <row r="3511" spans="7:7" x14ac:dyDescent="0.25">
      <c r="G3511"/>
    </row>
    <row r="3512" spans="7:7" x14ac:dyDescent="0.25">
      <c r="G3512"/>
    </row>
    <row r="3513" spans="7:7" x14ac:dyDescent="0.25">
      <c r="G3513"/>
    </row>
    <row r="3514" spans="7:7" x14ac:dyDescent="0.25">
      <c r="G3514"/>
    </row>
    <row r="3515" spans="7:7" x14ac:dyDescent="0.25">
      <c r="G3515"/>
    </row>
    <row r="3516" spans="7:7" x14ac:dyDescent="0.25">
      <c r="G3516"/>
    </row>
    <row r="3517" spans="7:7" x14ac:dyDescent="0.25">
      <c r="G3517"/>
    </row>
    <row r="3518" spans="7:7" x14ac:dyDescent="0.25">
      <c r="G3518"/>
    </row>
    <row r="3519" spans="7:7" x14ac:dyDescent="0.25">
      <c r="G3519"/>
    </row>
    <row r="3520" spans="7:7" x14ac:dyDescent="0.25">
      <c r="G3520"/>
    </row>
    <row r="3521" spans="7:7" x14ac:dyDescent="0.25">
      <c r="G3521"/>
    </row>
    <row r="3522" spans="7:7" x14ac:dyDescent="0.25">
      <c r="G3522"/>
    </row>
    <row r="3523" spans="7:7" x14ac:dyDescent="0.25">
      <c r="G3523"/>
    </row>
    <row r="3524" spans="7:7" x14ac:dyDescent="0.25">
      <c r="G3524"/>
    </row>
    <row r="3525" spans="7:7" x14ac:dyDescent="0.25">
      <c r="G3525"/>
    </row>
    <row r="3526" spans="7:7" x14ac:dyDescent="0.25">
      <c r="G3526"/>
    </row>
    <row r="3527" spans="7:7" x14ac:dyDescent="0.25">
      <c r="G3527"/>
    </row>
    <row r="3528" spans="7:7" x14ac:dyDescent="0.25">
      <c r="G3528"/>
    </row>
    <row r="3529" spans="7:7" x14ac:dyDescent="0.25">
      <c r="G3529"/>
    </row>
    <row r="3530" spans="7:7" x14ac:dyDescent="0.25">
      <c r="G3530"/>
    </row>
    <row r="3531" spans="7:7" x14ac:dyDescent="0.25">
      <c r="G3531"/>
    </row>
    <row r="3532" spans="7:7" x14ac:dyDescent="0.25">
      <c r="G3532"/>
    </row>
    <row r="3533" spans="7:7" x14ac:dyDescent="0.25">
      <c r="G3533"/>
    </row>
    <row r="3534" spans="7:7" x14ac:dyDescent="0.25">
      <c r="G3534"/>
    </row>
    <row r="3535" spans="7:7" x14ac:dyDescent="0.25">
      <c r="G3535"/>
    </row>
    <row r="3536" spans="7:7" x14ac:dyDescent="0.25">
      <c r="G3536"/>
    </row>
    <row r="3537" spans="7:7" x14ac:dyDescent="0.25">
      <c r="G3537"/>
    </row>
    <row r="3538" spans="7:7" x14ac:dyDescent="0.25">
      <c r="G3538"/>
    </row>
    <row r="3539" spans="7:7" x14ac:dyDescent="0.25">
      <c r="G3539"/>
    </row>
    <row r="3540" spans="7:7" x14ac:dyDescent="0.25">
      <c r="G3540"/>
    </row>
    <row r="3541" spans="7:7" x14ac:dyDescent="0.25">
      <c r="G3541"/>
    </row>
    <row r="3542" spans="7:7" x14ac:dyDescent="0.25">
      <c r="G3542"/>
    </row>
    <row r="3543" spans="7:7" x14ac:dyDescent="0.25">
      <c r="G3543"/>
    </row>
    <row r="3544" spans="7:7" x14ac:dyDescent="0.25">
      <c r="G3544"/>
    </row>
    <row r="3545" spans="7:7" x14ac:dyDescent="0.25">
      <c r="G3545"/>
    </row>
    <row r="3546" spans="7:7" x14ac:dyDescent="0.25">
      <c r="G3546"/>
    </row>
    <row r="3547" spans="7:7" x14ac:dyDescent="0.25">
      <c r="G3547"/>
    </row>
    <row r="3548" spans="7:7" x14ac:dyDescent="0.25">
      <c r="G3548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D9D82-3463-4388-8200-765B5233C989}">
  <dimension ref="A1:B6"/>
  <sheetViews>
    <sheetView workbookViewId="0">
      <selection activeCell="B10" sqref="B10"/>
    </sheetView>
  </sheetViews>
  <sheetFormatPr defaultRowHeight="15" x14ac:dyDescent="0.25"/>
  <cols>
    <col min="1" max="1" width="16.140625" bestFit="1" customWidth="1"/>
    <col min="2" max="2" width="120.140625" customWidth="1"/>
  </cols>
  <sheetData>
    <row r="1" spans="1:2" ht="30" x14ac:dyDescent="0.25">
      <c r="A1" s="5" t="s">
        <v>13</v>
      </c>
      <c r="B1" s="6" t="str">
        <f ca="1">_xlfn.FORMULATEXT(Clean_Data!A2)</f>
        <v>=TEXT([@[Transaction Date]],"yymmdd")&amp;"-"&amp;UPPER(LEFT([@Period],3))&amp;TEXT(COUNTIFS($C$2:[@[Transaction Date]],[@[Transaction Date]],$E$2:[@Period],[@Period]),"000")</v>
      </c>
    </row>
    <row r="2" spans="1:2" x14ac:dyDescent="0.25">
      <c r="A2" s="7" t="s">
        <v>11</v>
      </c>
      <c r="B2" s="8" t="s">
        <v>14</v>
      </c>
    </row>
    <row r="3" spans="1:2" x14ac:dyDescent="0.25">
      <c r="A3" s="9" t="s">
        <v>12</v>
      </c>
      <c r="B3" s="8"/>
    </row>
    <row r="4" spans="1:2" ht="30" x14ac:dyDescent="0.25">
      <c r="A4" s="10" t="s">
        <v>10</v>
      </c>
      <c r="B4" s="6" t="str">
        <f ca="1">_xlfn.FORMULATEXT(Clean_Data!E2)</f>
        <v>=IF(HOUR([@[Transaction Time]])&lt;11,"Morning Rush",IF(HOUR([@[Transaction Time]])&lt;14,"Lunch Break",IF(HOUR([@[Transaction Time]])&lt;17,"Afternoon Slump",IF(HOUR([@[Transaction Time]])&lt;20,"Evening","Late Night"))))</v>
      </c>
    </row>
    <row r="5" spans="1:2" x14ac:dyDescent="0.25">
      <c r="A5" s="10" t="s">
        <v>9</v>
      </c>
      <c r="B5" s="8"/>
    </row>
    <row r="6" spans="1:2" x14ac:dyDescent="0.25">
      <c r="A6" s="11" t="s">
        <v>8</v>
      </c>
      <c r="B6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5624E9-273E-47A2-BFAF-7B401D3AB1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Clean_Data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2026-04-19T06:58:12Z</dcterms:created>
  <dcterms:modified xsi:type="dcterms:W3CDTF">2026-04-21T13:02:40Z</dcterms:modified>
</cp:coreProperties>
</file>