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set\Coffee Shop Transactions &amp; Revenue Dataset\"/>
    </mc:Choice>
  </mc:AlternateContent>
  <xr:revisionPtr revIDLastSave="0" documentId="13_ncr:1_{F601D8E0-7CC0-4C15-9732-42E378CFDEE8}" xr6:coauthVersionLast="47" xr6:coauthVersionMax="47" xr10:uidLastSave="{00000000-0000-0000-0000-000000000000}"/>
  <bookViews>
    <workbookView xWindow="-120" yWindow="-120" windowWidth="19440" windowHeight="11160" activeTab="1" xr2:uid="{2D586110-1A3A-42E1-BAE6-D16EA4CCA66E}"/>
  </bookViews>
  <sheets>
    <sheet name="PivotTable" sheetId="1" r:id="rId1"/>
    <sheet name="Dashboard" sheetId="2" r:id="rId2"/>
  </sheets>
  <externalReferences>
    <externalReference r:id="rId3"/>
  </externalReferences>
  <definedNames>
    <definedName name="_xlcn.WorksheetConnection_Coffe_sales_clean.xlsxCoffee_sales_clean1" hidden="1">[1]!Coffee_sales_clean[#Data]</definedName>
    <definedName name="Slicer_Coffee_Name">#N/A</definedName>
    <definedName name="Slicer_Period">#N/A</definedName>
    <definedName name="Slicer_Transaction_Date__Month">#N/A</definedName>
    <definedName name="Slicer_Transaction_Date__Year">#N/A</definedName>
  </definedNames>
  <calcPr calcId="181029"/>
  <pivotCaches>
    <pivotCache cacheId="88" r:id="rId4"/>
    <pivotCache cacheId="84" r:id="rId5"/>
    <pivotCache cacheId="91" r:id="rId6"/>
    <pivotCache cacheId="94" r:id="rId7"/>
    <pivotCache cacheId="97"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ffee_sales_clean" name="Coffee_sales_clean" connection="WorksheetConnection_Coffe_sales_clean.xlsx!Coffee_sales_clean"/>
        </x15:modelTables>
        <x15:extLst>
          <ext xmlns:x16="http://schemas.microsoft.com/office/spreadsheetml/2014/11/main" uri="{9835A34E-60A6-4A7C-AAB8-D5F71C897F49}">
            <x16:modelTimeGroupings>
              <x16:modelTimeGrouping tableName="Coffee_sales_clean" columnName="Transaction Date" columnId="Transaction Date">
                <x16:calculatedTimeColumn columnName="Transaction Date (Year)" columnId="Transaction Date (Year)" contentType="years" isSelected="0"/>
                <x16:calculatedTimeColumn columnName="Transaction Date (Quarter)" columnId="Transaction Date (Quarter)" contentType="quarters" isSelected="0"/>
                <x16:calculatedTimeColumn columnName="Transaction Date (Month Index)" columnId="Transaction Date (Month Index)" contentType="monthsindex" isSelected="0"/>
                <x16:calculatedTimeColumn columnName="Transaction Date (Month)" columnId="Transaction Date (Month)" contentType="months" isSelected="0"/>
                <x16:calculatedTimeColumn columnName="Transaction Date (Day Index)" columnId="Transaction Date (Day Index)" contentType="daysindex" isSelected="1"/>
                <x16:calculatedTimeColumn columnName="Transaction Date (Day)" columnId="Transaction Date (Day)" contentType="days" isSelected="1"/>
              </x16:modelTimeGrouping>
            </x16:modelTimeGroupings>
          </ext>
        </x15:extLst>
      </x15:dataModel>
    </ext>
  </extLst>
</workbook>
</file>

<file path=xl/calcChain.xml><?xml version="1.0" encoding="utf-8"?>
<calcChain xmlns="http://schemas.openxmlformats.org/spreadsheetml/2006/main">
  <c r="B17" i="1" l="1"/>
  <c r="B16" i="1"/>
  <c r="B19" i="1"/>
  <c r="B1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31DA1B-4E1F-442D-8576-7FF3A646E1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8077D1-8AAE-4CBA-9F37-DA180E6CA99E}" name="WorksheetConnection_Coffe_sales_clean.xlsx!Coffee_sales_clean" type="102" refreshedVersion="8" minRefreshableVersion="5">
    <extLst>
      <ext xmlns:x15="http://schemas.microsoft.com/office/spreadsheetml/2010/11/main" uri="{DE250136-89BD-433C-8126-D09CA5730AF9}">
        <x15:connection id="Coffee_sales_clean" autoDelete="1">
          <x15:rangePr sourceName="_xlcn.WorksheetConnection_Coffe_sales_clean.xlsxCoffee_sales_clean1"/>
        </x15:connection>
      </ext>
    </extLst>
  </connection>
</connections>
</file>

<file path=xl/sharedStrings.xml><?xml version="1.0" encoding="utf-8"?>
<sst xmlns="http://schemas.openxmlformats.org/spreadsheetml/2006/main" count="75" uniqueCount="45">
  <si>
    <t>Sum of Amount</t>
  </si>
  <si>
    <t>Row Labels</t>
  </si>
  <si>
    <t>Grand Total</t>
  </si>
  <si>
    <t>Americano</t>
  </si>
  <si>
    <t>Americano with Milk</t>
  </si>
  <si>
    <t>Cappuccino</t>
  </si>
  <si>
    <t>Cocoa</t>
  </si>
  <si>
    <t>Cortado</t>
  </si>
  <si>
    <t>Espresso</t>
  </si>
  <si>
    <t>Hot Chocolate</t>
  </si>
  <si>
    <t>Latte</t>
  </si>
  <si>
    <t>Afternoon Slump</t>
  </si>
  <si>
    <t>Evening</t>
  </si>
  <si>
    <t>Late Night</t>
  </si>
  <si>
    <t>Lunch Break</t>
  </si>
  <si>
    <t>Morning Rush</t>
  </si>
  <si>
    <t>Aug</t>
  </si>
  <si>
    <t>Total Orders</t>
  </si>
  <si>
    <t>Total Revenue</t>
  </si>
  <si>
    <t>Jan</t>
  </si>
  <si>
    <t>Feb</t>
  </si>
  <si>
    <t>Mar</t>
  </si>
  <si>
    <t>Apr</t>
  </si>
  <si>
    <t>May</t>
  </si>
  <si>
    <t>Jun</t>
  </si>
  <si>
    <t>Jul</t>
  </si>
  <si>
    <t>Sep</t>
  </si>
  <si>
    <t>Oct</t>
  </si>
  <si>
    <t>Nov</t>
  </si>
  <si>
    <t>Dec</t>
  </si>
  <si>
    <t>Revenue Star</t>
  </si>
  <si>
    <t>Best Seller</t>
  </si>
  <si>
    <t>Count of Amount2</t>
  </si>
  <si>
    <t>Month</t>
  </si>
  <si>
    <t>Total Sales</t>
  </si>
  <si>
    <t>Coffee Name</t>
  </si>
  <si>
    <t>Column Labels</t>
  </si>
  <si>
    <t>Friday</t>
  </si>
  <si>
    <t>Monday</t>
  </si>
  <si>
    <t>Saturday</t>
  </si>
  <si>
    <t>Sunday</t>
  </si>
  <si>
    <t>Thursday</t>
  </si>
  <si>
    <t>Tuesday</t>
  </si>
  <si>
    <t>Wednesday</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</si>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</sst>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D700"/>
        <bgColor indexed="64"/>
      </patternFill>
    </fill>
    <fill>
      <patternFill patternType="solid">
        <fgColor rgb="FFFF8C00"/>
        <bgColor indexed="64"/>
      </patternFill>
    </fill>
    <fill>
      <patternFill patternType="solid">
        <fgColor rgb="FF9BC2E6"/>
        <bgColor indexed="64"/>
      </patternFill>
    </fill>
    <fill>
      <patternFill patternType="solid">
        <fgColor rgb="FF4472C4"/>
        <bgColor indexed="64"/>
      </patternFill>
    </fill>
    <fill>
      <patternFill patternType="solid">
        <fgColor rgb="FFA52A2A"/>
        <bgColor indexed="64"/>
      </patternFill>
    </fill>
  </fills>
  <borders count="19">
    <border>
      <left/>
      <right/>
      <top/>
      <bottom/>
      <diagonal/>
    </border>
    <border>
      <left style="medium">
        <color theme="0"/>
      </left>
      <right/>
      <top style="medium">
        <color theme="0"/>
      </top>
      <bottom/>
      <diagonal/>
    </border>
    <border>
      <left style="medium">
        <color theme="0"/>
      </left>
      <right/>
      <top/>
      <bottom/>
      <diagonal/>
    </border>
    <border>
      <left/>
      <right style="medium">
        <color theme="0"/>
      </right>
      <top/>
      <bottom/>
      <diagonal/>
    </border>
    <border>
      <left style="medium">
        <color theme="0"/>
      </left>
      <right/>
      <top/>
      <bottom style="thin">
        <color theme="0"/>
      </bottom>
      <diagonal/>
    </border>
    <border>
      <left style="thin">
        <color indexed="64"/>
      </left>
      <right style="thin">
        <color indexed="64"/>
      </right>
      <top style="thin">
        <color indexed="64"/>
      </top>
      <bottom style="thin">
        <color indexed="64"/>
      </bottom>
      <diagonal/>
    </border>
    <border>
      <left style="medium">
        <color theme="9"/>
      </left>
      <right style="thin">
        <color indexed="64"/>
      </right>
      <top style="thin">
        <color indexed="64"/>
      </top>
      <bottom style="thin">
        <color indexed="64"/>
      </bottom>
      <diagonal/>
    </border>
    <border>
      <left style="thin">
        <color indexed="64"/>
      </left>
      <right style="medium">
        <color theme="9"/>
      </right>
      <top style="thin">
        <color indexed="64"/>
      </top>
      <bottom style="thin">
        <color indexed="64"/>
      </bottom>
      <diagonal/>
    </border>
    <border>
      <left style="medium">
        <color theme="9"/>
      </left>
      <right style="thin">
        <color indexed="64"/>
      </right>
      <top style="thin">
        <color indexed="64"/>
      </top>
      <bottom style="medium">
        <color theme="9"/>
      </bottom>
      <diagonal/>
    </border>
    <border>
      <left style="thin">
        <color indexed="64"/>
      </left>
      <right style="thin">
        <color indexed="64"/>
      </right>
      <top style="thin">
        <color indexed="64"/>
      </top>
      <bottom style="medium">
        <color theme="9"/>
      </bottom>
      <diagonal/>
    </border>
    <border>
      <left style="thin">
        <color indexed="64"/>
      </left>
      <right style="medium">
        <color theme="9"/>
      </right>
      <top style="thin">
        <color indexed="64"/>
      </top>
      <bottom style="medium">
        <color theme="9"/>
      </bottom>
      <diagonal/>
    </border>
    <border>
      <left/>
      <right style="medium">
        <color theme="9"/>
      </right>
      <top style="medium">
        <color theme="9"/>
      </top>
      <bottom/>
      <diagonal/>
    </border>
    <border>
      <left/>
      <right style="medium">
        <color theme="9"/>
      </right>
      <top/>
      <bottom/>
      <diagonal/>
    </border>
    <border>
      <left/>
      <right style="medium">
        <color theme="9"/>
      </right>
      <top/>
      <bottom style="medium">
        <color theme="9"/>
      </bottom>
      <diagonal/>
    </border>
    <border>
      <left style="medium">
        <color theme="9"/>
      </left>
      <right style="medium">
        <color theme="9"/>
      </right>
      <top style="medium">
        <color theme="9"/>
      </top>
      <bottom/>
      <diagonal/>
    </border>
    <border>
      <left style="medium">
        <color theme="9"/>
      </left>
      <right style="thin">
        <color indexed="64"/>
      </right>
      <top style="medium">
        <color theme="9"/>
      </top>
      <bottom/>
      <diagonal/>
    </border>
    <border>
      <left style="thin">
        <color indexed="64"/>
      </left>
      <right style="thin">
        <color indexed="64"/>
      </right>
      <top style="medium">
        <color theme="9"/>
      </top>
      <bottom/>
      <diagonal/>
    </border>
    <border>
      <left style="thin">
        <color indexed="64"/>
      </left>
      <right style="medium">
        <color theme="9"/>
      </right>
      <top style="medium">
        <color theme="9"/>
      </top>
      <bottom/>
      <diagonal/>
    </border>
    <border>
      <left/>
      <right style="medium">
        <color theme="9"/>
      </right>
      <top style="medium">
        <color theme="9"/>
      </top>
      <bottom style="medium">
        <color theme="9"/>
      </bottom>
      <diagonal/>
    </border>
  </borders>
  <cellStyleXfs count="1">
    <xf numFmtId="0" fontId="0" fillId="0" borderId="0"/>
  </cellStyleXfs>
  <cellXfs count="35">
    <xf numFmtId="0" fontId="0" fillId="0" borderId="0" xfId="0"/>
    <xf numFmtId="0" fontId="0" fillId="0" borderId="0" xfId="0" pivotButton="1"/>
    <xf numFmtId="0" fontId="0" fillId="0" borderId="0" xfId="0" applyAlignment="1">
      <alignment horizontal="left"/>
    </xf>
    <xf numFmtId="0" fontId="0" fillId="2" borderId="0" xfId="0" applyFill="1" applyAlignment="1">
      <alignment vertical="center"/>
    </xf>
    <xf numFmtId="0" fontId="0" fillId="2" borderId="0" xfId="0" applyFill="1"/>
    <xf numFmtId="0" fontId="2" fillId="2" borderId="0" xfId="0" applyFont="1" applyFill="1" applyAlignment="1">
      <alignment vertical="center"/>
    </xf>
    <xf numFmtId="0" fontId="2" fillId="2" borderId="1" xfId="0" applyFont="1" applyFill="1" applyBorder="1" applyAlignment="1">
      <alignment vertical="center"/>
    </xf>
    <xf numFmtId="0" fontId="2" fillId="2" borderId="2" xfId="0" applyFont="1" applyFill="1" applyBorder="1" applyAlignment="1">
      <alignment vertical="center"/>
    </xf>
    <xf numFmtId="0" fontId="0" fillId="2" borderId="2" xfId="0" applyFill="1" applyBorder="1" applyAlignment="1">
      <alignment vertical="center"/>
    </xf>
    <xf numFmtId="2" fontId="0" fillId="2" borderId="0" xfId="0" applyNumberFormat="1" applyFill="1" applyAlignment="1">
      <alignment vertical="center"/>
    </xf>
    <xf numFmtId="0" fontId="0" fillId="2" borderId="3" xfId="0" applyFill="1" applyBorder="1" applyAlignment="1">
      <alignment vertical="center"/>
    </xf>
    <xf numFmtId="0" fontId="0" fillId="2" borderId="4" xfId="0" applyFill="1" applyBorder="1" applyAlignment="1">
      <alignment vertical="center"/>
    </xf>
    <xf numFmtId="164" fontId="0" fillId="0" borderId="0" xfId="0" applyNumberFormat="1"/>
    <xf numFmtId="1" fontId="0" fillId="0" borderId="0" xfId="0" applyNumberFormat="1"/>
    <xf numFmtId="164" fontId="0" fillId="0" borderId="5" xfId="0" applyNumberFormat="1" applyBorder="1"/>
    <xf numFmtId="0" fontId="0" fillId="0" borderId="6" xfId="0" applyBorder="1" applyAlignment="1">
      <alignment horizontal="left"/>
    </xf>
    <xf numFmtId="164" fontId="0" fillId="0" borderId="7" xfId="0" applyNumberFormat="1" applyBorder="1"/>
    <xf numFmtId="0" fontId="0" fillId="0" borderId="8" xfId="0" applyBorder="1" applyAlignment="1">
      <alignment horizontal="left"/>
    </xf>
    <xf numFmtId="164" fontId="0" fillId="0" borderId="9" xfId="0" applyNumberFormat="1" applyBorder="1"/>
    <xf numFmtId="164" fontId="0" fillId="0" borderId="10" xfId="0" applyNumberFormat="1" applyBorder="1"/>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2" borderId="0" xfId="0" applyFill="1" applyAlignment="1">
      <alignment horizontal="center" vertical="center"/>
    </xf>
    <xf numFmtId="1" fontId="0" fillId="2" borderId="0" xfId="0" applyNumberFormat="1" applyFill="1" applyAlignment="1">
      <alignment horizontal="center" vertical="center"/>
    </xf>
    <xf numFmtId="164" fontId="0" fillId="2" borderId="0" xfId="0" applyNumberFormat="1" applyFill="1" applyAlignment="1">
      <alignment horizontal="center" vertical="center"/>
    </xf>
    <xf numFmtId="164" fontId="0" fillId="0" borderId="11" xfId="0" applyNumberFormat="1" applyBorder="1"/>
    <xf numFmtId="164" fontId="0" fillId="0" borderId="12" xfId="0" applyNumberFormat="1" applyBorder="1"/>
    <xf numFmtId="164" fontId="0" fillId="0" borderId="13" xfId="0" applyNumberFormat="1" applyBorder="1"/>
    <xf numFmtId="0" fontId="0" fillId="0" borderId="14" xfId="0" pivotButton="1" applyBorder="1"/>
    <xf numFmtId="0" fontId="0" fillId="3" borderId="15" xfId="0" applyFill="1" applyBorder="1"/>
    <xf numFmtId="0" fontId="0" fillId="4" borderId="16" xfId="0" applyFill="1" applyBorder="1"/>
    <xf numFmtId="0" fontId="0" fillId="5" borderId="16" xfId="0" applyFill="1" applyBorder="1"/>
    <xf numFmtId="0" fontId="0" fillId="6" borderId="16" xfId="0" applyFill="1" applyBorder="1"/>
    <xf numFmtId="0" fontId="0" fillId="7" borderId="17" xfId="0" applyFill="1" applyBorder="1"/>
    <xf numFmtId="0" fontId="0" fillId="0" borderId="18" xfId="0" applyBorder="1"/>
  </cellXfs>
  <cellStyles count="1">
    <cellStyle name="Normal" xfId="0" builtinId="0"/>
  </cellStyles>
  <dxfs count="115">
    <dxf>
      <numFmt numFmtId="164" formatCode="&quot;$&quot;#,##0.00"/>
    </dxf>
    <dxf>
      <numFmt numFmtId="164" formatCode="&quot;$&quot;#,##0.00"/>
    </dxf>
    <dxf>
      <numFmt numFmtId="1" formatCode="0"/>
    </dxf>
    <dxf>
      <numFmt numFmtId="1" formatCode="0"/>
    </dxf>
    <dxf>
      <border>
        <left style="medium">
          <color theme="9"/>
        </left>
        <right style="medium">
          <color theme="9"/>
        </right>
        <bottom style="medium">
          <color theme="9"/>
        </bottom>
      </border>
    </dxf>
    <dxf>
      <border>
        <left style="medium">
          <color theme="9"/>
        </left>
        <right style="medium">
          <color theme="9"/>
        </right>
        <bottom style="medium">
          <color theme="9"/>
        </bottom>
      </border>
    </dxf>
    <dxf>
      <border>
        <left style="medium">
          <color theme="9"/>
        </left>
        <right style="medium">
          <color theme="9"/>
        </right>
        <bottom style="medium">
          <color theme="9"/>
        </bottom>
      </border>
    </dxf>
    <dxf>
      <border>
        <left style="medium">
          <color theme="9"/>
        </left>
        <right style="medium">
          <color theme="9"/>
        </right>
        <bottom style="medium">
          <color theme="9"/>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theme="9"/>
        </left>
        <right style="medium">
          <color theme="9"/>
        </right>
        <top style="medium">
          <color theme="9"/>
        </top>
        <bottom style="medium">
          <color theme="9"/>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700"/>
        </patternFill>
      </fill>
    </dxf>
    <dxf>
      <fill>
        <patternFill patternType="solid">
          <bgColor rgb="FFFF8C00"/>
        </patternFill>
      </fill>
    </dxf>
    <dxf>
      <fill>
        <patternFill patternType="solid">
          <bgColor rgb="FFFF8C00"/>
        </patternFill>
      </fill>
    </dxf>
    <dxf>
      <fill>
        <patternFill>
          <bgColor rgb="FF9BC2E6"/>
        </patternFill>
      </fill>
    </dxf>
    <dxf>
      <fill>
        <patternFill patternType="solid">
          <bgColor rgb="FF4472C4"/>
        </patternFill>
      </fill>
    </dxf>
    <dxf>
      <fill>
        <patternFill patternType="solid">
          <bgColor rgb="FFA52A2A"/>
        </patternFill>
      </fil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700"/>
        </patternFill>
      </fill>
    </dxf>
    <dxf>
      <fill>
        <patternFill patternType="solid">
          <bgColor rgb="FFFF8C00"/>
        </patternFill>
      </fill>
    </dxf>
    <dxf>
      <fill>
        <patternFill patternType="solid">
          <bgColor rgb="FFFF8C00"/>
        </patternFill>
      </fill>
    </dxf>
    <dxf>
      <fill>
        <patternFill>
          <bgColor rgb="FF9BC2E6"/>
        </patternFill>
      </fill>
    </dxf>
    <dxf>
      <fill>
        <patternFill patternType="solid">
          <bgColor rgb="FF4472C4"/>
        </patternFill>
      </fill>
    </dxf>
    <dxf>
      <fill>
        <patternFill patternType="solid">
          <bgColor rgb="FFA52A2A"/>
        </patternFill>
      </fil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700"/>
        </patternFill>
      </fill>
    </dxf>
    <dxf>
      <fill>
        <patternFill patternType="solid">
          <bgColor rgb="FFFF8C00"/>
        </patternFill>
      </fill>
    </dxf>
    <dxf>
      <fill>
        <patternFill patternType="solid">
          <bgColor rgb="FFFF8C00"/>
        </patternFill>
      </fill>
    </dxf>
    <dxf>
      <fill>
        <patternFill>
          <bgColor rgb="FF9BC2E6"/>
        </patternFill>
      </fill>
    </dxf>
    <dxf>
      <fill>
        <patternFill patternType="solid">
          <bgColor rgb="FF4472C4"/>
        </patternFill>
      </fill>
    </dxf>
    <dxf>
      <fill>
        <patternFill patternType="solid">
          <bgColor rgb="FFA52A2A"/>
        </patternFill>
      </fil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700"/>
        </patternFill>
      </fill>
    </dxf>
    <dxf>
      <fill>
        <patternFill patternType="solid">
          <bgColor rgb="FFFF8C00"/>
        </patternFill>
      </fill>
    </dxf>
    <dxf>
      <fill>
        <patternFill patternType="solid">
          <bgColor rgb="FFFF8C00"/>
        </patternFill>
      </fill>
    </dxf>
    <dxf>
      <fill>
        <patternFill>
          <bgColor rgb="FF9BC2E6"/>
        </patternFill>
      </fill>
    </dxf>
    <dxf>
      <fill>
        <patternFill patternType="solid">
          <bgColor rgb="FF4472C4"/>
        </patternFill>
      </fill>
    </dxf>
    <dxf>
      <fill>
        <patternFill patternType="solid">
          <bgColor rgb="FFA52A2A"/>
        </patternFill>
      </fill>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 formatCode="0"/>
    </dxf>
    <dxf>
      <numFmt numFmtId="164" formatCode="&quot;$&quot;#,##0.00"/>
    </dxf>
    <dxf>
      <numFmt numFmtId="164" formatCode="&quot;$&quot;#,##0.00"/>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border>
        <left style="medium">
          <color theme="9"/>
        </left>
        <right style="medium">
          <color theme="9"/>
        </right>
        <top style="medium">
          <color theme="9"/>
        </top>
        <bottom style="medium">
          <color theme="9"/>
        </bottom>
      </border>
    </dxf>
    <dxf>
      <fill>
        <patternFill patternType="solid">
          <bgColor rgb="FFA52A2A"/>
        </patternFill>
      </fill>
    </dxf>
    <dxf>
      <fill>
        <patternFill patternType="solid">
          <bgColor rgb="FF4472C4"/>
        </patternFill>
      </fill>
    </dxf>
    <dxf>
      <fill>
        <patternFill>
          <bgColor rgb="FF9BC2E6"/>
        </patternFill>
      </fill>
    </dxf>
    <dxf>
      <fill>
        <patternFill patternType="solid">
          <bgColor rgb="FFFF8C00"/>
        </patternFill>
      </fill>
    </dxf>
    <dxf>
      <fill>
        <patternFill patternType="solid">
          <bgColor rgb="FFFF8C00"/>
        </patternFill>
      </fill>
    </dxf>
    <dxf>
      <fill>
        <patternFill patternType="solid">
          <bgColor rgb="FFFFD7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numFmt numFmtId="1" formatCode="0"/>
    </dxf>
    <dxf>
      <numFmt numFmtId="1" formatCode="0"/>
    </dxf>
    <dxf>
      <numFmt numFmtId="164" formatCode="&quot;$&quot;#,##0.00"/>
    </dxf>
    <dxf>
      <numFmt numFmtId="164" formatCode="&quot;$&quot;#,##0.00"/>
    </dxf>
    <dxf>
      <numFmt numFmtId="164" formatCode="&quot;$&quot;#,##0.00"/>
    </dxf>
    <dxf>
      <numFmt numFmtId="1" formatCode="0"/>
    </dxf>
    <dxf>
      <numFmt numFmtId="164" formatCode="&quot;$&quot;#,##0.00"/>
    </dxf>
  </dxfs>
  <tableStyles count="0" defaultTableStyle="TableStyleMedium2" defaultPivotStyle="PivotStyleLight16"/>
  <colors>
    <mruColors>
      <color rgb="FFA52A2A"/>
      <color rgb="FF4472C4"/>
      <color rgb="FF9BC2E6"/>
      <color rgb="FFFF8C00"/>
      <color rgb="FFFFD700"/>
      <color rgb="FF08F81F"/>
      <color rgb="FF00BFFF"/>
      <color rgb="FF00008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4.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externalLink" Target="externalLinks/externalLink1.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[Dashboard.xlsx]PivotTable!PivotTable6</c:name>
    <c:fmtId val="9"/>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Business Performance</a:t>
            </a:r>
            <a:r>
              <a:rPr lang="en-US" baseline="0"/>
              <a:t> Trends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ln w="19050"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c:f>
              <c:strCache>
                <c:ptCount val="1"/>
                <c:pt idx="0">
                  <c:v>Total Sales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PivotTable!$A$2:$A$14</c:f>
              <c:strCache>
                <c:ptCount val="12"/>
                <c:pt idx="0">
                  <c:v>Mar</c:v>
                </c:pt>
                <c:pt idx="1">
                  <c:v>Apr</c:v>
                </c:pt>
                <c:pt idx="2">
                  <c:v>May</c:v>
                </c:pt>
                <c:pt idx="3">
                  <c:v>Jun</c:v>
                </c:pt>
                <c:pt idx="4">
                  <c:v>Jul</c:v>
                </c:pt>
                <c:pt idx="5">
                  <c:v>Aug</c:v>
                </c:pt>
                <c:pt idx="6">
                  <c:v>Sep</c:v>
                </c:pt>
                <c:pt idx="7">
                  <c:v>Oct</c:v>
                </c:pt>
                <c:pt idx="8">
                  <c:v>Nov</c:v>
                </c:pt>
                <c:pt idx="9">
                  <c:v>Dec</c:v>
                </c:pt>
                <c:pt idx="10">
                  <c:v>Jan</c:v>
                </c:pt>
                <c:pt idx="11">
                  <c:v>Feb</c:v>
                </c:pt>
              </c:strCache>
            </c:strRef>
          </c:cat>
          <c:val>
            <c:numRef>
              <c:f>PivotTable!$B$2:$B$14</c:f>
              <c:numCache>
                <c:formatCode>"$"#,##0.00</c:formatCode>
                <c:ptCount val="12"/>
                <c:pt idx="0">
                  <c:v>5905.1999999999925</c:v>
                </c:pt>
                <c:pt idx="1">
                  <c:v>5719.5600000000022</c:v>
                </c:pt>
                <c:pt idx="2">
                  <c:v>8164.4200000000119</c:v>
                </c:pt>
                <c:pt idx="3">
                  <c:v>7617.7600000000057</c:v>
                </c:pt>
                <c:pt idx="4">
                  <c:v>6915.940000000006</c:v>
                </c:pt>
                <c:pt idx="5">
                  <c:v>7613.8400000000147</c:v>
                </c:pt>
                <c:pt idx="6">
                  <c:v>9988.6400000000067</c:v>
                </c:pt>
                <c:pt idx="7">
                  <c:v>13891.16000000004</c:v>
                </c:pt>
                <c:pt idx="8">
                  <c:v>8590.5400000000227</c:v>
                </c:pt>
                <c:pt idx="9">
                  <c:v>8237.740000000018</c:v>
                </c:pt>
                <c:pt idx="10">
                  <c:v>6398.8600000000124</c:v>
                </c:pt>
                <c:pt idx="11">
                  <c:v>13215.479999999996</c:v>
                </c:pt>
              </c:numCache>
            </c:numRef>
          </c:val>
          <c:extLst>
            <c:ext xmlns:c16="http://schemas.microsoft.com/office/drawing/2014/chart" uri="{C3380CC4-5D6E-409C-BE32-E72D297353CC}">
              <c16:uniqueId val="{00000003-331F-4D62-B230-BCFCF97CC704}"/>
            </c:ext>
          </c:extLst>
        </c:ser>
        <c:dLbls>
          <c:showLegendKey val="0"/>
          <c:showVal val="0"/>
          <c:showCatName val="0"/>
          <c:showSerName val="0"/>
          <c:showPercent val="0"/>
          <c:showBubbleSize val="0"/>
        </c:dLbls>
        <c:gapWidth val="100"/>
        <c:axId val="437782728"/>
        <c:axId val="437779488"/>
      </c:barChart>
      <c:lineChart>
        <c:grouping val="standard"/>
        <c:varyColors val="0"/>
        <c:ser>
          <c:idx val="1"/>
          <c:order val="1"/>
          <c:tx>
            <c:strRef>
              <c:f>PivotTable!$C$1</c:f>
              <c:strCache>
                <c:ptCount val="1"/>
                <c:pt idx="0">
                  <c:v>Total Orders</c:v>
                </c:pt>
              </c:strCache>
            </c:strRef>
          </c:tx>
          <c:spPr>
            <a:ln w="19050" cap="rnd">
              <a:solidFill>
                <a:schemeClr val="accent5"/>
              </a:solidFill>
              <a:round/>
            </a:ln>
            <a:effectLst>
              <a:outerShdw blurRad="57150" dist="19050" dir="5400000" algn="ctr" rotWithShape="0">
                <a:srgbClr val="000000">
                  <a:alpha val="63000"/>
                </a:srgbClr>
              </a:outerShdw>
            </a:effectLst>
          </c:spPr>
          <c:marker>
            <c:symbol val="none"/>
          </c:marker>
          <c:cat>
            <c:strRef>
              <c:f>PivotTable!$A$2:$A$14</c:f>
              <c:strCache>
                <c:ptCount val="12"/>
                <c:pt idx="0">
                  <c:v>Mar</c:v>
                </c:pt>
                <c:pt idx="1">
                  <c:v>Apr</c:v>
                </c:pt>
                <c:pt idx="2">
                  <c:v>May</c:v>
                </c:pt>
                <c:pt idx="3">
                  <c:v>Jun</c:v>
                </c:pt>
                <c:pt idx="4">
                  <c:v>Jul</c:v>
                </c:pt>
                <c:pt idx="5">
                  <c:v>Aug</c:v>
                </c:pt>
                <c:pt idx="6">
                  <c:v>Sep</c:v>
                </c:pt>
                <c:pt idx="7">
                  <c:v>Oct</c:v>
                </c:pt>
                <c:pt idx="8">
                  <c:v>Nov</c:v>
                </c:pt>
                <c:pt idx="9">
                  <c:v>Dec</c:v>
                </c:pt>
                <c:pt idx="10">
                  <c:v>Jan</c:v>
                </c:pt>
                <c:pt idx="11">
                  <c:v>Feb</c:v>
                </c:pt>
              </c:strCache>
            </c:strRef>
          </c:cat>
          <c:val>
            <c:numRef>
              <c:f>PivotTable!$C$2:$C$14</c:f>
              <c:numCache>
                <c:formatCode>0</c:formatCode>
                <c:ptCount val="12"/>
                <c:pt idx="0">
                  <c:v>175</c:v>
                </c:pt>
                <c:pt idx="1">
                  <c:v>168</c:v>
                </c:pt>
                <c:pt idx="2">
                  <c:v>241</c:v>
                </c:pt>
                <c:pt idx="3">
                  <c:v>223</c:v>
                </c:pt>
                <c:pt idx="4">
                  <c:v>237</c:v>
                </c:pt>
                <c:pt idx="5">
                  <c:v>272</c:v>
                </c:pt>
                <c:pt idx="6">
                  <c:v>344</c:v>
                </c:pt>
                <c:pt idx="7">
                  <c:v>426</c:v>
                </c:pt>
                <c:pt idx="8">
                  <c:v>259</c:v>
                </c:pt>
                <c:pt idx="9">
                  <c:v>259</c:v>
                </c:pt>
                <c:pt idx="10">
                  <c:v>201</c:v>
                </c:pt>
                <c:pt idx="11">
                  <c:v>423</c:v>
                </c:pt>
              </c:numCache>
            </c:numRef>
          </c:val>
          <c:smooth val="0"/>
          <c:extLst>
            <c:ext xmlns:c16="http://schemas.microsoft.com/office/drawing/2014/chart" uri="{C3380CC4-5D6E-409C-BE32-E72D297353CC}">
              <c16:uniqueId val="{00000000-A191-4695-AB35-31DCE2EA5A7C}"/>
            </c:ext>
          </c:extLst>
        </c:ser>
        <c:dLbls>
          <c:showLegendKey val="0"/>
          <c:showVal val="0"/>
          <c:showCatName val="0"/>
          <c:showSerName val="0"/>
          <c:showPercent val="0"/>
          <c:showBubbleSize val="0"/>
        </c:dLbls>
        <c:marker val="1"/>
        <c:smooth val="0"/>
        <c:axId val="125411104"/>
        <c:axId val="125410744"/>
      </c:lineChart>
      <c:catAx>
        <c:axId val="4377827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7779488"/>
        <c:crosses val="autoZero"/>
        <c:auto val="1"/>
        <c:lblAlgn val="ctr"/>
        <c:lblOffset val="100"/>
        <c:noMultiLvlLbl val="0"/>
      </c:catAx>
      <c:valAx>
        <c:axId val="437779488"/>
        <c:scaling>
          <c:orientation val="minMax"/>
        </c:scaling>
        <c:delete val="0"/>
        <c:axPos val="l"/>
        <c:majorGridlines>
          <c:spPr>
            <a:ln w="9525" cap="flat" cmpd="sng" algn="ctr">
              <a:solidFill>
                <a:schemeClr val="bg1">
                  <a:lumMod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7782728"/>
        <c:crosses val="autoZero"/>
        <c:crossBetween val="between"/>
      </c:valAx>
      <c:valAx>
        <c:axId val="1254107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411104"/>
        <c:crosses val="max"/>
        <c:crossBetween val="between"/>
      </c:valAx>
      <c:catAx>
        <c:axId val="125411104"/>
        <c:scaling>
          <c:orientation val="minMax"/>
        </c:scaling>
        <c:delete val="1"/>
        <c:axPos val="t"/>
        <c:numFmt formatCode="General" sourceLinked="1"/>
        <c:majorTickMark val="out"/>
        <c:minorTickMark val="none"/>
        <c:tickLblPos val="nextTo"/>
        <c:crossAx val="12541074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[Dashboard.xlsx]PivotTable!PivotTable7</c:name>
    <c:fmtId val="6"/>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Product Sales vs. Popularity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chemeClr val="accent6"/>
            </a:solidFill>
            <a:round/>
          </a:ln>
          <a:effectLst>
            <a:outerShdw blurRad="57150" dist="19050" dir="5400000" algn="ctr" rotWithShape="0">
              <a:srgbClr val="000000">
                <a:alpha val="63000"/>
              </a:srgbClr>
            </a:outerShdw>
          </a:effectLst>
        </c:spPr>
        <c:marker>
          <c:symbol val="circ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PivotTable!$F$1</c:f>
              <c:strCache>
                <c:ptCount val="1"/>
                <c:pt idx="0">
                  <c:v>Sum of Amount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PivotTable!$E$2:$E$10</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PivotTable!$F$2:$F$10</c:f>
              <c:numCache>
                <c:formatCode>"$"#,##0.00</c:formatCode>
                <c:ptCount val="8"/>
                <c:pt idx="0">
                  <c:v>24836.979999999592</c:v>
                </c:pt>
                <c:pt idx="1">
                  <c:v>23146.400000000198</c:v>
                </c:pt>
                <c:pt idx="2">
                  <c:v>15901.460000000017</c:v>
                </c:pt>
                <c:pt idx="3">
                  <c:v>12002.339999999913</c:v>
                </c:pt>
                <c:pt idx="4">
                  <c:v>9110.9800000000414</c:v>
                </c:pt>
                <c:pt idx="5">
                  <c:v>7448.3600000000315</c:v>
                </c:pt>
                <c:pt idx="6">
                  <c:v>7332.9400000000096</c:v>
                </c:pt>
                <c:pt idx="7">
                  <c:v>2479.6799999999944</c:v>
                </c:pt>
              </c:numCache>
            </c:numRef>
          </c:val>
          <c:extLst>
            <c:ext xmlns:c16="http://schemas.microsoft.com/office/drawing/2014/chart" uri="{C3380CC4-5D6E-409C-BE32-E72D297353CC}">
              <c16:uniqueId val="{00000003-3043-45A5-A348-4DD52B00CAF8}"/>
            </c:ext>
          </c:extLst>
        </c:ser>
        <c:dLbls>
          <c:showLegendKey val="0"/>
          <c:showVal val="0"/>
          <c:showCatName val="0"/>
          <c:showSerName val="0"/>
          <c:showPercent val="0"/>
          <c:showBubbleSize val="0"/>
        </c:dLbls>
        <c:gapWidth val="115"/>
        <c:axId val="1046192344"/>
        <c:axId val="1046192704"/>
      </c:barChart>
      <c:lineChart>
        <c:grouping val="standard"/>
        <c:varyColors val="0"/>
        <c:ser>
          <c:idx val="1"/>
          <c:order val="1"/>
          <c:tx>
            <c:strRef>
              <c:f>PivotTable!$G$1</c:f>
              <c:strCache>
                <c:ptCount val="1"/>
                <c:pt idx="0">
                  <c:v>Count of Amount2</c:v>
                </c:pt>
              </c:strCache>
            </c:strRef>
          </c:tx>
          <c:spPr>
            <a:ln w="25400" cap="rnd">
              <a:solidFill>
                <a:schemeClr val="accent5"/>
              </a:solidFill>
              <a:round/>
            </a:ln>
            <a:effectLst>
              <a:outerShdw blurRad="57150" dist="19050" dir="5400000" algn="ctr" rotWithShape="0">
                <a:srgbClr val="000000">
                  <a:alpha val="63000"/>
                </a:srgbClr>
              </a:outerShdw>
            </a:effectLst>
          </c:spPr>
          <c:marker>
            <c:symbol val="circ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noFill/>
                <a:round/>
              </a:ln>
              <a:effectLst>
                <a:outerShdw blurRad="57150" dist="19050" dir="5400000" algn="ctr" rotWithShape="0">
                  <a:srgbClr val="000000">
                    <a:alpha val="63000"/>
                  </a:srgbClr>
                </a:outerShdw>
              </a:effectLst>
            </c:spPr>
          </c:marker>
          <c:cat>
            <c:strRef>
              <c:f>PivotTable!$E$2:$E$10</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PivotTable!$G$2:$G$10</c:f>
              <c:numCache>
                <c:formatCode>0</c:formatCode>
                <c:ptCount val="8"/>
                <c:pt idx="0">
                  <c:v>700</c:v>
                </c:pt>
                <c:pt idx="1">
                  <c:v>757</c:v>
                </c:pt>
                <c:pt idx="2">
                  <c:v>443</c:v>
                </c:pt>
                <c:pt idx="3">
                  <c:v>462</c:v>
                </c:pt>
                <c:pt idx="4">
                  <c:v>253</c:v>
                </c:pt>
                <c:pt idx="5">
                  <c:v>209</c:v>
                </c:pt>
                <c:pt idx="6">
                  <c:v>285</c:v>
                </c:pt>
                <c:pt idx="7">
                  <c:v>119</c:v>
                </c:pt>
              </c:numCache>
            </c:numRef>
          </c:val>
          <c:smooth val="0"/>
          <c:extLst>
            <c:ext xmlns:c16="http://schemas.microsoft.com/office/drawing/2014/chart" uri="{C3380CC4-5D6E-409C-BE32-E72D297353CC}">
              <c16:uniqueId val="{00000000-945F-41E7-B7BF-716681FD9259}"/>
            </c:ext>
          </c:extLst>
        </c:ser>
        <c:dLbls>
          <c:showLegendKey val="0"/>
          <c:showVal val="0"/>
          <c:showCatName val="0"/>
          <c:showSerName val="0"/>
          <c:showPercent val="0"/>
          <c:showBubbleSize val="0"/>
        </c:dLbls>
        <c:marker val="1"/>
        <c:smooth val="0"/>
        <c:axId val="1157914136"/>
        <c:axId val="1157918816"/>
      </c:lineChart>
      <c:catAx>
        <c:axId val="1046192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6192704"/>
        <c:crosses val="autoZero"/>
        <c:auto val="1"/>
        <c:lblAlgn val="ctr"/>
        <c:lblOffset val="100"/>
        <c:noMultiLvlLbl val="0"/>
      </c:catAx>
      <c:valAx>
        <c:axId val="1046192704"/>
        <c:scaling>
          <c:orientation val="minMax"/>
        </c:scaling>
        <c:delete val="0"/>
        <c:axPos val="l"/>
        <c:majorGridlines>
          <c:spPr>
            <a:ln w="9525" cap="flat" cmpd="sng" algn="ctr">
              <a:solidFill>
                <a:schemeClr val="bg1">
                  <a:lumMod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6192344"/>
        <c:crosses val="autoZero"/>
        <c:crossBetween val="between"/>
      </c:valAx>
      <c:valAx>
        <c:axId val="115791881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7914136"/>
        <c:crosses val="max"/>
        <c:crossBetween val="between"/>
      </c:valAx>
      <c:catAx>
        <c:axId val="1157914136"/>
        <c:scaling>
          <c:orientation val="minMax"/>
        </c:scaling>
        <c:delete val="1"/>
        <c:axPos val="b"/>
        <c:numFmt formatCode="General" sourceLinked="1"/>
        <c:majorTickMark val="out"/>
        <c:minorTickMark val="none"/>
        <c:tickLblPos val="nextTo"/>
        <c:crossAx val="1157918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[Dashboard.xlsx]PivotTable!PivotTable8</c:name>
    <c:fmtId val="6"/>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Product Performance by Period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9BC2E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4472C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A52A2A"/>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FF8C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D7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PivotTable!$J$1:$J$2</c:f>
              <c:strCache>
                <c:ptCount val="1"/>
                <c:pt idx="0">
                  <c:v>Morning Rush</c:v>
                </c:pt>
              </c:strCache>
            </c:strRef>
          </c:tx>
          <c:spPr>
            <a:solidFill>
              <a:srgbClr val="FFD700"/>
            </a:solidFill>
            <a:ln>
              <a:noFill/>
            </a:ln>
            <a:effectLst>
              <a:outerShdw blurRad="57150" dist="19050" dir="5400000" algn="ctr" rotWithShape="0">
                <a:srgbClr val="000000">
                  <a:alpha val="63000"/>
                </a:srgbClr>
              </a:outerShdw>
            </a:effectLst>
          </c:spPr>
          <c:invertIfNegative val="0"/>
          <c:cat>
            <c:strRef>
              <c:f>PivotTable!$I$3:$I$11</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PivotTable!$J$3:$J$11</c:f>
              <c:numCache>
                <c:formatCode>"$"#,##0.00</c:formatCode>
                <c:ptCount val="8"/>
                <c:pt idx="0">
                  <c:v>490.24000000000007</c:v>
                </c:pt>
                <c:pt idx="1">
                  <c:v>2742.4200000000014</c:v>
                </c:pt>
                <c:pt idx="2">
                  <c:v>1345.1599999999999</c:v>
                </c:pt>
                <c:pt idx="3">
                  <c:v>918.9799999999999</c:v>
                </c:pt>
                <c:pt idx="4">
                  <c:v>2938.8600000000015</c:v>
                </c:pt>
                <c:pt idx="5">
                  <c:v>2854.4200000000051</c:v>
                </c:pt>
                <c:pt idx="6">
                  <c:v>7321.1199999999753</c:v>
                </c:pt>
                <c:pt idx="7">
                  <c:v>5941.5400000000227</c:v>
                </c:pt>
              </c:numCache>
            </c:numRef>
          </c:val>
          <c:extLst>
            <c:ext xmlns:c16="http://schemas.microsoft.com/office/drawing/2014/chart" uri="{C3380CC4-5D6E-409C-BE32-E72D297353CC}">
              <c16:uniqueId val="{00000012-E752-4F9B-A19E-9E780C9E67A5}"/>
            </c:ext>
          </c:extLst>
        </c:ser>
        <c:ser>
          <c:idx val="1"/>
          <c:order val="1"/>
          <c:tx>
            <c:strRef>
              <c:f>PivotTable!$K$1:$K$2</c:f>
              <c:strCache>
                <c:ptCount val="1"/>
                <c:pt idx="0">
                  <c:v>Lunch Break</c:v>
                </c:pt>
              </c:strCache>
            </c:strRef>
          </c:tx>
          <c:spPr>
            <a:solidFill>
              <a:srgbClr val="FF8C00"/>
            </a:solidFill>
            <a:ln>
              <a:noFill/>
            </a:ln>
            <a:effectLst>
              <a:outerShdw blurRad="57150" dist="19050" dir="5400000" algn="ctr" rotWithShape="0">
                <a:srgbClr val="000000">
                  <a:alpha val="63000"/>
                </a:srgbClr>
              </a:outerShdw>
            </a:effectLst>
          </c:spPr>
          <c:invertIfNegative val="0"/>
          <c:cat>
            <c:strRef>
              <c:f>PivotTable!$I$3:$I$11</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PivotTable!$K$3:$K$11</c:f>
              <c:numCache>
                <c:formatCode>"$"#,##0.00</c:formatCode>
                <c:ptCount val="8"/>
                <c:pt idx="0">
                  <c:v>723.37999999999954</c:v>
                </c:pt>
                <c:pt idx="1">
                  <c:v>2010.1799999999998</c:v>
                </c:pt>
                <c:pt idx="2">
                  <c:v>1293.2399999999998</c:v>
                </c:pt>
                <c:pt idx="3">
                  <c:v>1059.58</c:v>
                </c:pt>
                <c:pt idx="4">
                  <c:v>3696.1200000000013</c:v>
                </c:pt>
                <c:pt idx="5">
                  <c:v>2923.0200000000045</c:v>
                </c:pt>
                <c:pt idx="6">
                  <c:v>5130.5799999999963</c:v>
                </c:pt>
                <c:pt idx="7">
                  <c:v>4181.4600000000119</c:v>
                </c:pt>
              </c:numCache>
            </c:numRef>
          </c:val>
          <c:extLst>
            <c:ext xmlns:c16="http://schemas.microsoft.com/office/drawing/2014/chart" uri="{C3380CC4-5D6E-409C-BE32-E72D297353CC}">
              <c16:uniqueId val="{00000013-E752-4F9B-A19E-9E780C9E67A5}"/>
            </c:ext>
          </c:extLst>
        </c:ser>
        <c:ser>
          <c:idx val="2"/>
          <c:order val="2"/>
          <c:tx>
            <c:strRef>
              <c:f>PivotTable!$L$1:$L$2</c:f>
              <c:strCache>
                <c:ptCount val="1"/>
                <c:pt idx="0">
                  <c:v>Afternoon Slump</c:v>
                </c:pt>
              </c:strCache>
            </c:strRef>
          </c:tx>
          <c:spPr>
            <a:solidFill>
              <a:srgbClr val="9BC2E6"/>
            </a:solidFill>
            <a:ln>
              <a:noFill/>
            </a:ln>
            <a:effectLst>
              <a:outerShdw blurRad="57150" dist="19050" dir="5400000" algn="ctr" rotWithShape="0">
                <a:srgbClr val="000000">
                  <a:alpha val="63000"/>
                </a:srgbClr>
              </a:outerShdw>
            </a:effectLst>
          </c:spPr>
          <c:invertIfNegative val="0"/>
          <c:cat>
            <c:strRef>
              <c:f>PivotTable!$I$3:$I$11</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PivotTable!$L$3:$L$11</c:f>
              <c:numCache>
                <c:formatCode>"$"#,##0.00</c:formatCode>
                <c:ptCount val="8"/>
                <c:pt idx="0">
                  <c:v>701.83999999999958</c:v>
                </c:pt>
                <c:pt idx="1">
                  <c:v>1142.7400000000005</c:v>
                </c:pt>
                <c:pt idx="2">
                  <c:v>1427.4599999999998</c:v>
                </c:pt>
                <c:pt idx="3">
                  <c:v>2056.94</c:v>
                </c:pt>
                <c:pt idx="4">
                  <c:v>2831.6200000000013</c:v>
                </c:pt>
                <c:pt idx="5">
                  <c:v>3209.1000000000067</c:v>
                </c:pt>
                <c:pt idx="6">
                  <c:v>3723.7800000000084</c:v>
                </c:pt>
                <c:pt idx="7">
                  <c:v>5672.1200000000208</c:v>
                </c:pt>
              </c:numCache>
            </c:numRef>
          </c:val>
          <c:extLst>
            <c:ext xmlns:c16="http://schemas.microsoft.com/office/drawing/2014/chart" uri="{C3380CC4-5D6E-409C-BE32-E72D297353CC}">
              <c16:uniqueId val="{00000014-E752-4F9B-A19E-9E780C9E67A5}"/>
            </c:ext>
          </c:extLst>
        </c:ser>
        <c:ser>
          <c:idx val="3"/>
          <c:order val="3"/>
          <c:tx>
            <c:strRef>
              <c:f>PivotTable!$M$1:$M$2</c:f>
              <c:strCache>
                <c:ptCount val="1"/>
                <c:pt idx="0">
                  <c:v>Evening</c:v>
                </c:pt>
              </c:strCache>
            </c:strRef>
          </c:tx>
          <c:spPr>
            <a:solidFill>
              <a:srgbClr val="4472C4"/>
            </a:solidFill>
            <a:ln>
              <a:noFill/>
            </a:ln>
            <a:effectLst>
              <a:outerShdw blurRad="57150" dist="19050" dir="5400000" algn="ctr" rotWithShape="0">
                <a:srgbClr val="000000">
                  <a:alpha val="63000"/>
                </a:srgbClr>
              </a:outerShdw>
            </a:effectLst>
          </c:spPr>
          <c:invertIfNegative val="0"/>
          <c:cat>
            <c:strRef>
              <c:f>PivotTable!$I$3:$I$11</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PivotTable!$M$3:$M$11</c:f>
              <c:numCache>
                <c:formatCode>"$"#,##0.00</c:formatCode>
                <c:ptCount val="8"/>
                <c:pt idx="0">
                  <c:v>398.68</c:v>
                </c:pt>
                <c:pt idx="1">
                  <c:v>829.26000000000045</c:v>
                </c:pt>
                <c:pt idx="2">
                  <c:v>1729.2199999999998</c:v>
                </c:pt>
                <c:pt idx="3">
                  <c:v>2764.8000000000047</c:v>
                </c:pt>
                <c:pt idx="4">
                  <c:v>1673.2000000000012</c:v>
                </c:pt>
                <c:pt idx="5">
                  <c:v>4305.4200000000137</c:v>
                </c:pt>
                <c:pt idx="6">
                  <c:v>3925.1000000000099</c:v>
                </c:pt>
                <c:pt idx="7">
                  <c:v>4952.0200000000168</c:v>
                </c:pt>
              </c:numCache>
            </c:numRef>
          </c:val>
          <c:extLst>
            <c:ext xmlns:c16="http://schemas.microsoft.com/office/drawing/2014/chart" uri="{C3380CC4-5D6E-409C-BE32-E72D297353CC}">
              <c16:uniqueId val="{00000015-E752-4F9B-A19E-9E780C9E67A5}"/>
            </c:ext>
          </c:extLst>
        </c:ser>
        <c:ser>
          <c:idx val="4"/>
          <c:order val="4"/>
          <c:tx>
            <c:strRef>
              <c:f>PivotTable!$N$1:$N$2</c:f>
              <c:strCache>
                <c:ptCount val="1"/>
                <c:pt idx="0">
                  <c:v>Late Night</c:v>
                </c:pt>
              </c:strCache>
            </c:strRef>
          </c:tx>
          <c:spPr>
            <a:solidFill>
              <a:srgbClr val="A52A2A"/>
            </a:solidFill>
            <a:ln>
              <a:noFill/>
            </a:ln>
            <a:effectLst>
              <a:outerShdw blurRad="57150" dist="19050" dir="5400000" algn="ctr" rotWithShape="0">
                <a:srgbClr val="000000">
                  <a:alpha val="63000"/>
                </a:srgbClr>
              </a:outerShdw>
            </a:effectLst>
          </c:spPr>
          <c:invertIfNegative val="0"/>
          <c:cat>
            <c:strRef>
              <c:f>PivotTable!$I$3:$I$11</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PivotTable!$N$3:$N$11</c:f>
              <c:numCache>
                <c:formatCode>"$"#,##0.00</c:formatCode>
                <c:ptCount val="8"/>
                <c:pt idx="0">
                  <c:v>165.54000000000002</c:v>
                </c:pt>
                <c:pt idx="1">
                  <c:v>608.34</c:v>
                </c:pt>
                <c:pt idx="2">
                  <c:v>1653.2799999999997</c:v>
                </c:pt>
                <c:pt idx="3">
                  <c:v>2310.6800000000017</c:v>
                </c:pt>
                <c:pt idx="4">
                  <c:v>862.5400000000003</c:v>
                </c:pt>
                <c:pt idx="5">
                  <c:v>2609.5000000000027</c:v>
                </c:pt>
                <c:pt idx="6">
                  <c:v>3045.8200000000065</c:v>
                </c:pt>
                <c:pt idx="7">
                  <c:v>4089.8400000000111</c:v>
                </c:pt>
              </c:numCache>
            </c:numRef>
          </c:val>
          <c:extLst>
            <c:ext xmlns:c16="http://schemas.microsoft.com/office/drawing/2014/chart" uri="{C3380CC4-5D6E-409C-BE32-E72D297353CC}">
              <c16:uniqueId val="{00000016-E752-4F9B-A19E-9E780C9E67A5}"/>
            </c:ext>
          </c:extLst>
        </c:ser>
        <c:dLbls>
          <c:showLegendKey val="0"/>
          <c:showVal val="0"/>
          <c:showCatName val="0"/>
          <c:showSerName val="0"/>
          <c:showPercent val="0"/>
          <c:showBubbleSize val="0"/>
        </c:dLbls>
        <c:gapWidth val="150"/>
        <c:overlap val="100"/>
        <c:axId val="440959816"/>
        <c:axId val="440963056"/>
      </c:barChart>
      <c:catAx>
        <c:axId val="4409598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0963056"/>
        <c:crosses val="autoZero"/>
        <c:auto val="1"/>
        <c:lblAlgn val="ctr"/>
        <c:lblOffset val="100"/>
        <c:noMultiLvlLbl val="0"/>
      </c:catAx>
      <c:valAx>
        <c:axId val="440963056"/>
        <c:scaling>
          <c:orientation val="minMax"/>
        </c:scaling>
        <c:delete val="1"/>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crossAx val="4409598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[Dashboard.xlsx]PivotTable!PivotTable2</c:name>
    <c:fmtId val="3"/>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Revenue by Period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700"/>
          </a:solidFill>
          <a:ln>
            <a:noFill/>
          </a:ln>
          <a:effectLst>
            <a:outerShdw blurRad="57150" dist="19050" dir="5400000" algn="ctr" rotWithShape="0">
              <a:srgbClr val="000000">
                <a:alpha val="63000"/>
              </a:srgbClr>
            </a:outerShdw>
          </a:effectLst>
        </c:spPr>
      </c:pivotFmt>
      <c:pivotFmt>
        <c:idx val="4"/>
        <c:spPr>
          <a:solidFill>
            <a:srgbClr val="FF8C00"/>
          </a:solidFill>
          <a:ln>
            <a:noFill/>
          </a:ln>
          <a:effectLst>
            <a:outerShdw blurRad="57150" dist="19050" dir="5400000" algn="ctr" rotWithShape="0">
              <a:srgbClr val="000000">
                <a:alpha val="63000"/>
              </a:srgbClr>
            </a:outerShdw>
          </a:effectLst>
        </c:spPr>
      </c:pivotFmt>
      <c:pivotFmt>
        <c:idx val="5"/>
        <c:spPr>
          <a:solidFill>
            <a:srgbClr val="9BC2E6"/>
          </a:solidFill>
          <a:ln>
            <a:noFill/>
          </a:ln>
          <a:effectLst>
            <a:outerShdw blurRad="57150" dist="19050" dir="5400000" algn="ctr" rotWithShape="0">
              <a:srgbClr val="000000">
                <a:alpha val="63000"/>
              </a:srgbClr>
            </a:outerShdw>
          </a:effectLst>
        </c:spPr>
      </c:pivotFmt>
      <c:pivotFmt>
        <c:idx val="6"/>
        <c:spPr>
          <a:solidFill>
            <a:srgbClr val="4472C4"/>
          </a:solidFill>
          <a:ln>
            <a:noFill/>
          </a:ln>
          <a:effectLst>
            <a:outerShdw blurRad="57150" dist="19050" dir="5400000" algn="ctr" rotWithShape="0">
              <a:srgbClr val="000000">
                <a:alpha val="63000"/>
              </a:srgbClr>
            </a:outerShdw>
          </a:effectLst>
        </c:spPr>
      </c:pivotFmt>
      <c:pivotFmt>
        <c:idx val="7"/>
        <c:spPr>
          <a:solidFill>
            <a:srgbClr val="A52A2A"/>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PivotTable!$F$12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A52A2A"/>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65DB-4E37-95C5-C91395CE3DDB}"/>
              </c:ext>
            </c:extLst>
          </c:dPt>
          <c:dPt>
            <c:idx val="1"/>
            <c:invertIfNegative val="0"/>
            <c:bubble3D val="0"/>
            <c:spPr>
              <a:solidFill>
                <a:srgbClr val="4472C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5DB-4E37-95C5-C91395CE3DDB}"/>
              </c:ext>
            </c:extLst>
          </c:dPt>
          <c:dPt>
            <c:idx val="2"/>
            <c:invertIfNegative val="0"/>
            <c:bubble3D val="0"/>
            <c:spPr>
              <a:solidFill>
                <a:srgbClr val="9BC2E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65DB-4E37-95C5-C91395CE3DDB}"/>
              </c:ext>
            </c:extLst>
          </c:dPt>
          <c:dPt>
            <c:idx val="3"/>
            <c:invertIfNegative val="0"/>
            <c:bubble3D val="0"/>
            <c:spPr>
              <a:solidFill>
                <a:srgbClr val="FF8C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5DB-4E37-95C5-C91395CE3DDB}"/>
              </c:ext>
            </c:extLst>
          </c:dPt>
          <c:dPt>
            <c:idx val="4"/>
            <c:invertIfNegative val="0"/>
            <c:bubble3D val="0"/>
            <c:spPr>
              <a:solidFill>
                <a:srgbClr val="FFD7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5DB-4E37-95C5-C91395CE3D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PivotTable!$E$13:$E$18</c:f>
              <c:strCache>
                <c:ptCount val="5"/>
                <c:pt idx="0">
                  <c:v>Late Night</c:v>
                </c:pt>
                <c:pt idx="1">
                  <c:v>Evening</c:v>
                </c:pt>
                <c:pt idx="2">
                  <c:v>Afternoon Slump</c:v>
                </c:pt>
                <c:pt idx="3">
                  <c:v>Lunch Break</c:v>
                </c:pt>
                <c:pt idx="4">
                  <c:v>Morning Rush</c:v>
                </c:pt>
              </c:strCache>
            </c:strRef>
          </c:cat>
          <c:val>
            <c:numRef>
              <c:f>PivotTable!$F$13:$F$18</c:f>
              <c:numCache>
                <c:formatCode>"$"#,##0.00</c:formatCode>
                <c:ptCount val="5"/>
                <c:pt idx="0">
                  <c:v>15345.540000000025</c:v>
                </c:pt>
                <c:pt idx="1">
                  <c:v>20577.699999999903</c:v>
                </c:pt>
                <c:pt idx="2">
                  <c:v>20765.599999999868</c:v>
                </c:pt>
                <c:pt idx="3">
                  <c:v>21017.559999999925</c:v>
                </c:pt>
                <c:pt idx="4">
                  <c:v>24552.739999999874</c:v>
                </c:pt>
              </c:numCache>
            </c:numRef>
          </c:val>
          <c:extLst>
            <c:ext xmlns:c16="http://schemas.microsoft.com/office/drawing/2014/chart" uri="{C3380CC4-5D6E-409C-BE32-E72D297353CC}">
              <c16:uniqueId val="{00000000-65DB-4E37-95C5-C91395CE3DDB}"/>
            </c:ext>
          </c:extLst>
        </c:ser>
        <c:dLbls>
          <c:showLegendKey val="0"/>
          <c:showVal val="1"/>
          <c:showCatName val="0"/>
          <c:showSerName val="0"/>
          <c:showPercent val="0"/>
          <c:showBubbleSize val="0"/>
        </c:dLbls>
        <c:gapWidth val="115"/>
        <c:overlap val="-20"/>
        <c:axId val="581085080"/>
        <c:axId val="581081840"/>
      </c:barChart>
      <c:catAx>
        <c:axId val="5810850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1081840"/>
        <c:crosses val="autoZero"/>
        <c:auto val="1"/>
        <c:lblAlgn val="ctr"/>
        <c:lblOffset val="100"/>
        <c:noMultiLvlLbl val="0"/>
      </c:catAx>
      <c:valAx>
        <c:axId val="581081840"/>
        <c:scaling>
          <c:orientation val="minMax"/>
        </c:scaling>
        <c:delete val="1"/>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crossAx val="581085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absolute">
    <xdr:from>
      <xdr:col>0</xdr:col>
      <xdr:colOff>123825</xdr:colOff>
      <xdr:row>6</xdr:row>
      <xdr:rowOff>5966</xdr:rowOff>
    </xdr:from>
    <xdr:to>
      <xdr:col>6</xdr:col>
      <xdr:colOff>552450</xdr:colOff>
      <xdr:row>18</xdr:row>
      <xdr:rowOff>188846</xdr:rowOff>
    </xdr:to>
    <xdr:graphicFrame macro="">
      <xdr:nvGraphicFramePr>
        <xdr:cNvPr id="2" name="Chart 1">
          <a:extLst>
            <a:ext uri="{FF2B5EF4-FFF2-40B4-BE49-F238E27FC236}">
              <a16:creationId xmlns:a16="http://schemas.microsoft.com/office/drawing/2014/main" id="{A2DFBA7B-843F-4030-8BBF-EE7B5D248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28574</xdr:colOff>
      <xdr:row>6</xdr:row>
      <xdr:rowOff>6151</xdr:rowOff>
    </xdr:from>
    <xdr:to>
      <xdr:col>16</xdr:col>
      <xdr:colOff>88170</xdr:colOff>
      <xdr:row>9</xdr:row>
      <xdr:rowOff>58538</xdr:rowOff>
    </xdr:to>
    <mc:AlternateContent xmlns:mc="http://schemas.openxmlformats.org/markup-compatibility/2006" xmlns:a14="http://schemas.microsoft.com/office/drawing/2010/main">
      <mc:Choice Requires="a14">
        <xdr:graphicFrame macro="">
          <xdr:nvGraphicFramePr>
            <xdr:cNvPr id="3" name="Transaction Date (Year)">
              <a:extLst>
                <a:ext uri="{FF2B5EF4-FFF2-40B4-BE49-F238E27FC236}">
                  <a16:creationId xmlns:a16="http://schemas.microsoft.com/office/drawing/2014/main" id="{4567949F-5C4D-4D5B-9999-35A757889362}"/>
                </a:ext>
              </a:extLst>
            </xdr:cNvPr>
            <xdr:cNvGraphicFramePr/>
          </xdr:nvGraphicFramePr>
          <xdr:xfrm>
            <a:off x="0" y="0"/>
            <a:ext cx="0" cy="0"/>
          </xdr:xfrm>
          <a:graphic>
            <a:graphicData uri="http://schemas.microsoft.com/office/drawing/2010/slicer">
              <sle:slicer xmlns:sle="http://schemas.microsoft.com/office/drawing/2010/slicer" name="Transaction Date (Year)"/>
            </a:graphicData>
          </a:graphic>
        </xdr:graphicFrame>
      </mc:Choice>
      <mc:Fallback xmlns="">
        <xdr:sp macro="" textlink="">
          <xdr:nvSpPr>
            <xdr:cNvPr id="0" name=""/>
            <xdr:cNvSpPr>
              <a:spLocks noTextEdit="1"/>
            </xdr:cNvSpPr>
          </xdr:nvSpPr>
          <xdr:spPr>
            <a:xfrm>
              <a:off x="8591549" y="1149151"/>
              <a:ext cx="1278796" cy="623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56639</xdr:colOff>
      <xdr:row>6</xdr:row>
      <xdr:rowOff>4352</xdr:rowOff>
    </xdr:from>
    <xdr:to>
      <xdr:col>13</xdr:col>
      <xdr:colOff>518686</xdr:colOff>
      <xdr:row>18</xdr:row>
      <xdr:rowOff>185831</xdr:rowOff>
    </xdr:to>
    <xdr:graphicFrame macro="">
      <xdr:nvGraphicFramePr>
        <xdr:cNvPr id="4" name="Chart 3">
          <a:extLst>
            <a:ext uri="{FF2B5EF4-FFF2-40B4-BE49-F238E27FC236}">
              <a16:creationId xmlns:a16="http://schemas.microsoft.com/office/drawing/2014/main" id="{05D102A8-2E1E-4BA0-A292-C9972F102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126545</xdr:colOff>
      <xdr:row>19</xdr:row>
      <xdr:rowOff>58850</xdr:rowOff>
    </xdr:from>
    <xdr:to>
      <xdr:col>6</xdr:col>
      <xdr:colOff>555170</xdr:colOff>
      <xdr:row>32</xdr:row>
      <xdr:rowOff>95249</xdr:rowOff>
    </xdr:to>
    <xdr:graphicFrame macro="">
      <xdr:nvGraphicFramePr>
        <xdr:cNvPr id="5" name="Chart 4">
          <a:extLst>
            <a:ext uri="{FF2B5EF4-FFF2-40B4-BE49-F238E27FC236}">
              <a16:creationId xmlns:a16="http://schemas.microsoft.com/office/drawing/2014/main" id="{9F6D5041-1D82-433E-AC39-FDC93A7D9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28576</xdr:colOff>
      <xdr:row>9</xdr:row>
      <xdr:rowOff>82352</xdr:rowOff>
    </xdr:from>
    <xdr:to>
      <xdr:col>16</xdr:col>
      <xdr:colOff>89536</xdr:colOff>
      <xdr:row>20</xdr:row>
      <xdr:rowOff>1</xdr:rowOff>
    </xdr:to>
    <mc:AlternateContent xmlns:mc="http://schemas.openxmlformats.org/markup-compatibility/2006" xmlns:a14="http://schemas.microsoft.com/office/drawing/2010/main">
      <mc:Choice Requires="a14">
        <xdr:graphicFrame macro="">
          <xdr:nvGraphicFramePr>
            <xdr:cNvPr id="7" name="Transaction Date (Month)">
              <a:extLst>
                <a:ext uri="{FF2B5EF4-FFF2-40B4-BE49-F238E27FC236}">
                  <a16:creationId xmlns:a16="http://schemas.microsoft.com/office/drawing/2014/main" id="{C4876A9F-16FA-4B2F-8CE1-3D9BFDBBF37F}"/>
                </a:ext>
              </a:extLst>
            </xdr:cNvPr>
            <xdr:cNvGraphicFramePr/>
          </xdr:nvGraphicFramePr>
          <xdr:xfrm>
            <a:off x="0" y="0"/>
            <a:ext cx="0" cy="0"/>
          </xdr:xfrm>
          <a:graphic>
            <a:graphicData uri="http://schemas.microsoft.com/office/drawing/2010/slicer">
              <sle:slicer xmlns:sle="http://schemas.microsoft.com/office/drawing/2010/slicer" name="Transaction Date (Month)"/>
            </a:graphicData>
          </a:graphic>
        </xdr:graphicFrame>
      </mc:Choice>
      <mc:Fallback xmlns="">
        <xdr:sp macro="" textlink="">
          <xdr:nvSpPr>
            <xdr:cNvPr id="0" name=""/>
            <xdr:cNvSpPr>
              <a:spLocks noTextEdit="1"/>
            </xdr:cNvSpPr>
          </xdr:nvSpPr>
          <xdr:spPr>
            <a:xfrm>
              <a:off x="8591551" y="1796852"/>
              <a:ext cx="1280160" cy="2013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114300</xdr:colOff>
      <xdr:row>6</xdr:row>
      <xdr:rowOff>8348</xdr:rowOff>
    </xdr:from>
    <xdr:to>
      <xdr:col>18</xdr:col>
      <xdr:colOff>514349</xdr:colOff>
      <xdr:row>20</xdr:row>
      <xdr:rowOff>4578</xdr:rowOff>
    </xdr:to>
    <mc:AlternateContent xmlns:mc="http://schemas.openxmlformats.org/markup-compatibility/2006" xmlns:a14="http://schemas.microsoft.com/office/drawing/2010/main">
      <mc:Choice Requires="a14">
        <xdr:graphicFrame macro="">
          <xdr:nvGraphicFramePr>
            <xdr:cNvPr id="8" name="Coffee Name">
              <a:extLst>
                <a:ext uri="{FF2B5EF4-FFF2-40B4-BE49-F238E27FC236}">
                  <a16:creationId xmlns:a16="http://schemas.microsoft.com/office/drawing/2014/main" id="{7002C5A1-031A-4458-AFB3-AF788587C065}"/>
                </a:ext>
              </a:extLst>
            </xdr:cNvPr>
            <xdr:cNvGraphicFramePr/>
          </xdr:nvGraphicFramePr>
          <xdr:xfrm>
            <a:off x="0" y="0"/>
            <a:ext cx="0" cy="0"/>
          </xdr:xfrm>
          <a:graphic>
            <a:graphicData uri="http://schemas.microsoft.com/office/drawing/2010/slicer">
              <sle:slicer xmlns:sle="http://schemas.microsoft.com/office/drawing/2010/slicer" name="Coffee Name"/>
            </a:graphicData>
          </a:graphic>
        </xdr:graphicFrame>
      </mc:Choice>
      <mc:Fallback xmlns="">
        <xdr:sp macro="" textlink="">
          <xdr:nvSpPr>
            <xdr:cNvPr id="0" name=""/>
            <xdr:cNvSpPr>
              <a:spLocks noTextEdit="1"/>
            </xdr:cNvSpPr>
          </xdr:nvSpPr>
          <xdr:spPr>
            <a:xfrm>
              <a:off x="9896475" y="1151348"/>
              <a:ext cx="1619249" cy="2663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36114</xdr:colOff>
      <xdr:row>20</xdr:row>
      <xdr:rowOff>21431</xdr:rowOff>
    </xdr:from>
    <xdr:to>
      <xdr:col>18</xdr:col>
      <xdr:colOff>514349</xdr:colOff>
      <xdr:row>29</xdr:row>
      <xdr:rowOff>1</xdr:rowOff>
    </xdr:to>
    <mc:AlternateContent xmlns:mc="http://schemas.openxmlformats.org/markup-compatibility/2006" xmlns:a14="http://schemas.microsoft.com/office/drawing/2010/main">
      <mc:Choice Requires="a14">
        <xdr:graphicFrame macro="">
          <xdr:nvGraphicFramePr>
            <xdr:cNvPr id="9" name="Period">
              <a:extLst>
                <a:ext uri="{FF2B5EF4-FFF2-40B4-BE49-F238E27FC236}">
                  <a16:creationId xmlns:a16="http://schemas.microsoft.com/office/drawing/2014/main" id="{134D6FFA-8A79-448D-AFA4-321B6DBA5141}"/>
                </a:ext>
              </a:extLst>
            </xdr:cNvPr>
            <xdr:cNvGraphicFramePr/>
          </xdr:nvGraphicFramePr>
          <xdr:xfrm>
            <a:off x="0" y="0"/>
            <a:ext cx="0" cy="0"/>
          </xdr:xfrm>
          <a:graphic>
            <a:graphicData uri="http://schemas.microsoft.com/office/drawing/2010/slicer">
              <sle:slicer xmlns:sle="http://schemas.microsoft.com/office/drawing/2010/slicer" name="Period"/>
            </a:graphicData>
          </a:graphic>
        </xdr:graphicFrame>
      </mc:Choice>
      <mc:Fallback xmlns="">
        <xdr:sp macro="" textlink="">
          <xdr:nvSpPr>
            <xdr:cNvPr id="0" name=""/>
            <xdr:cNvSpPr>
              <a:spLocks noTextEdit="1"/>
            </xdr:cNvSpPr>
          </xdr:nvSpPr>
          <xdr:spPr>
            <a:xfrm>
              <a:off x="8599089" y="3831431"/>
              <a:ext cx="2916635" cy="1683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4020</xdr:colOff>
      <xdr:row>2</xdr:row>
      <xdr:rowOff>117475</xdr:rowOff>
    </xdr:from>
    <xdr:to>
      <xdr:col>6</xdr:col>
      <xdr:colOff>242417</xdr:colOff>
      <xdr:row>5</xdr:row>
      <xdr:rowOff>69850</xdr:rowOff>
    </xdr:to>
    <xdr:grpSp>
      <xdr:nvGrpSpPr>
        <xdr:cNvPr id="16" name="Group 15">
          <a:extLst>
            <a:ext uri="{FF2B5EF4-FFF2-40B4-BE49-F238E27FC236}">
              <a16:creationId xmlns:a16="http://schemas.microsoft.com/office/drawing/2014/main" id="{7FDAFFD0-2656-7F20-4D0B-BCFD1D36C792}"/>
            </a:ext>
          </a:extLst>
        </xdr:cNvPr>
        <xdr:cNvGrpSpPr/>
      </xdr:nvGrpSpPr>
      <xdr:grpSpPr>
        <a:xfrm>
          <a:off x="2470995" y="498475"/>
          <a:ext cx="1457597" cy="523875"/>
          <a:chOff x="4420759" y="314325"/>
          <a:chExt cx="1078499" cy="523875"/>
        </a:xfrm>
      </xdr:grpSpPr>
      <xdr:sp macro="" textlink="PivotTable!B16">
        <xdr:nvSpPr>
          <xdr:cNvPr id="14" name="Rectangle: Rounded Corners 13">
            <a:extLst>
              <a:ext uri="{FF2B5EF4-FFF2-40B4-BE49-F238E27FC236}">
                <a16:creationId xmlns:a16="http://schemas.microsoft.com/office/drawing/2014/main" id="{7492DDAE-3488-714B-A0D6-5EAB08451F22}"/>
              </a:ext>
            </a:extLst>
          </xdr:cNvPr>
          <xdr:cNvSpPr/>
        </xdr:nvSpPr>
        <xdr:spPr>
          <a:xfrm>
            <a:off x="4429125" y="314325"/>
            <a:ext cx="1066800" cy="523875"/>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fld id="{70F96DCF-277B-4EF9-8F1E-E408FD4EFD0F}" type="TxLink">
              <a:rPr lang="en-US" sz="1100" b="0" i="0" u="none" strike="noStrike">
                <a:solidFill>
                  <a:schemeClr val="bg1"/>
                </a:solidFill>
                <a:latin typeface="Calibri"/>
                <a:cs typeface="Calibri"/>
              </a:rPr>
              <a:pPr algn="ctr"/>
              <a:t>$102,259.14</a:t>
            </a:fld>
            <a:endParaRPr lang="en-US" sz="1100">
              <a:solidFill>
                <a:schemeClr val="bg1"/>
              </a:solidFill>
            </a:endParaRPr>
          </a:p>
        </xdr:txBody>
      </xdr:sp>
      <xdr:sp macro="" textlink="">
        <xdr:nvSpPr>
          <xdr:cNvPr id="15" name="TextBox 14">
            <a:extLst>
              <a:ext uri="{FF2B5EF4-FFF2-40B4-BE49-F238E27FC236}">
                <a16:creationId xmlns:a16="http://schemas.microsoft.com/office/drawing/2014/main" id="{0B4C1C81-6B22-0BFA-6088-F283252091BC}"/>
              </a:ext>
            </a:extLst>
          </xdr:cNvPr>
          <xdr:cNvSpPr txBox="1"/>
        </xdr:nvSpPr>
        <xdr:spPr>
          <a:xfrm>
            <a:off x="4420759" y="590549"/>
            <a:ext cx="1078499"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Total</a:t>
            </a:r>
            <a:r>
              <a:rPr lang="en-US" sz="1100" b="1">
                <a:solidFill>
                  <a:schemeClr val="bg1"/>
                </a:solidFill>
              </a:rPr>
              <a:t> </a:t>
            </a:r>
            <a:r>
              <a:rPr lang="en-US" sz="1100" b="1">
                <a:solidFill>
                  <a:schemeClr val="tx1"/>
                </a:solidFill>
              </a:rPr>
              <a:t>Revenue</a:t>
            </a:r>
          </a:p>
        </xdr:txBody>
      </xdr:sp>
    </xdr:grpSp>
    <xdr:clientData/>
  </xdr:twoCellAnchor>
  <xdr:twoCellAnchor>
    <xdr:from>
      <xdr:col>0</xdr:col>
      <xdr:colOff>270517</xdr:colOff>
      <xdr:row>2</xdr:row>
      <xdr:rowOff>114265</xdr:rowOff>
    </xdr:from>
    <xdr:to>
      <xdr:col>2</xdr:col>
      <xdr:colOff>496494</xdr:colOff>
      <xdr:row>5</xdr:row>
      <xdr:rowOff>63323</xdr:rowOff>
    </xdr:to>
    <xdr:grpSp>
      <xdr:nvGrpSpPr>
        <xdr:cNvPr id="20" name="Group 19">
          <a:extLst>
            <a:ext uri="{FF2B5EF4-FFF2-40B4-BE49-F238E27FC236}">
              <a16:creationId xmlns:a16="http://schemas.microsoft.com/office/drawing/2014/main" id="{9345EB97-64DF-4330-947F-A574F9A83452}"/>
            </a:ext>
          </a:extLst>
        </xdr:cNvPr>
        <xdr:cNvGrpSpPr/>
      </xdr:nvGrpSpPr>
      <xdr:grpSpPr>
        <a:xfrm>
          <a:off x="270517" y="495265"/>
          <a:ext cx="1473752" cy="520558"/>
          <a:chOff x="4420759" y="314325"/>
          <a:chExt cx="966519" cy="523875"/>
        </a:xfrm>
      </xdr:grpSpPr>
      <xdr:sp macro="" textlink="PivotTable!B17">
        <xdr:nvSpPr>
          <xdr:cNvPr id="21" name="Rectangle: Rounded Corners 20">
            <a:extLst>
              <a:ext uri="{FF2B5EF4-FFF2-40B4-BE49-F238E27FC236}">
                <a16:creationId xmlns:a16="http://schemas.microsoft.com/office/drawing/2014/main" id="{F22E234F-C98E-B5D0-3016-4B6292130E89}"/>
              </a:ext>
            </a:extLst>
          </xdr:cNvPr>
          <xdr:cNvSpPr/>
        </xdr:nvSpPr>
        <xdr:spPr>
          <a:xfrm>
            <a:off x="4429125" y="314325"/>
            <a:ext cx="955726" cy="523875"/>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fld id="{CD32479C-B003-40E0-B3B9-DD2BB0A533E8}" type="TxLink">
              <a:rPr lang="en-US" sz="1100" b="0" i="0" u="none" strike="noStrike">
                <a:solidFill>
                  <a:schemeClr val="bg1"/>
                </a:solidFill>
                <a:latin typeface="Calibri"/>
                <a:cs typeface="Calibri"/>
              </a:rPr>
              <a:pPr algn="ctr"/>
              <a:t>3228</a:t>
            </a:fld>
            <a:endParaRPr lang="en-US" sz="1100">
              <a:solidFill>
                <a:schemeClr val="bg1"/>
              </a:solidFill>
            </a:endParaRPr>
          </a:p>
        </xdr:txBody>
      </xdr:sp>
      <xdr:sp macro="" textlink="">
        <xdr:nvSpPr>
          <xdr:cNvPr id="22" name="TextBox 21">
            <a:extLst>
              <a:ext uri="{FF2B5EF4-FFF2-40B4-BE49-F238E27FC236}">
                <a16:creationId xmlns:a16="http://schemas.microsoft.com/office/drawing/2014/main" id="{E62C14D6-424B-9218-0656-705163C5CC4E}"/>
              </a:ext>
            </a:extLst>
          </xdr:cNvPr>
          <xdr:cNvSpPr txBox="1"/>
        </xdr:nvSpPr>
        <xdr:spPr>
          <a:xfrm>
            <a:off x="4420759" y="590549"/>
            <a:ext cx="966519"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Total Orders</a:t>
            </a:r>
          </a:p>
        </xdr:txBody>
      </xdr:sp>
    </xdr:grpSp>
    <xdr:clientData/>
  </xdr:twoCellAnchor>
  <xdr:twoCellAnchor>
    <xdr:from>
      <xdr:col>7</xdr:col>
      <xdr:colOff>362170</xdr:colOff>
      <xdr:row>2</xdr:row>
      <xdr:rowOff>118881</xdr:rowOff>
    </xdr:from>
    <xdr:to>
      <xdr:col>9</xdr:col>
      <xdr:colOff>598441</xdr:colOff>
      <xdr:row>5</xdr:row>
      <xdr:rowOff>72037</xdr:rowOff>
    </xdr:to>
    <xdr:grpSp>
      <xdr:nvGrpSpPr>
        <xdr:cNvPr id="23" name="Group 22">
          <a:extLst>
            <a:ext uri="{FF2B5EF4-FFF2-40B4-BE49-F238E27FC236}">
              <a16:creationId xmlns:a16="http://schemas.microsoft.com/office/drawing/2014/main" id="{97069F01-47F0-4A0C-A662-A51AE2102D93}"/>
            </a:ext>
          </a:extLst>
        </xdr:cNvPr>
        <xdr:cNvGrpSpPr/>
      </xdr:nvGrpSpPr>
      <xdr:grpSpPr>
        <a:xfrm>
          <a:off x="4657945" y="499881"/>
          <a:ext cx="1455471" cy="524656"/>
          <a:chOff x="4420759" y="314325"/>
          <a:chExt cx="1078499" cy="523875"/>
        </a:xfrm>
      </xdr:grpSpPr>
      <xdr:sp macro="" textlink="PivotTable!B18">
        <xdr:nvSpPr>
          <xdr:cNvPr id="24" name="Rectangle: Rounded Corners 23">
            <a:extLst>
              <a:ext uri="{FF2B5EF4-FFF2-40B4-BE49-F238E27FC236}">
                <a16:creationId xmlns:a16="http://schemas.microsoft.com/office/drawing/2014/main" id="{3F2BD02C-EA89-4AC3-9A08-2E07AEFF254E}"/>
              </a:ext>
            </a:extLst>
          </xdr:cNvPr>
          <xdr:cNvSpPr/>
        </xdr:nvSpPr>
        <xdr:spPr>
          <a:xfrm>
            <a:off x="4429125" y="314325"/>
            <a:ext cx="1066800" cy="523875"/>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fld id="{53ED8E23-05C2-4644-8A7A-F2AA4BDF8B1C}" type="TxLink">
              <a:rPr lang="en-US" sz="1100" b="0" i="0" u="none" strike="noStrike">
                <a:solidFill>
                  <a:schemeClr val="bg1"/>
                </a:solidFill>
                <a:latin typeface="Calibri"/>
                <a:cs typeface="Calibri"/>
              </a:rPr>
              <a:pPr algn="ctr"/>
              <a:t>Latte</a:t>
            </a:fld>
            <a:endParaRPr lang="en-US" sz="1100">
              <a:solidFill>
                <a:schemeClr val="bg1"/>
              </a:solidFill>
            </a:endParaRPr>
          </a:p>
        </xdr:txBody>
      </xdr:sp>
      <xdr:sp macro="" textlink="">
        <xdr:nvSpPr>
          <xdr:cNvPr id="25" name="TextBox 24">
            <a:extLst>
              <a:ext uri="{FF2B5EF4-FFF2-40B4-BE49-F238E27FC236}">
                <a16:creationId xmlns:a16="http://schemas.microsoft.com/office/drawing/2014/main" id="{20184470-9D89-6ACE-D508-8EE9401F0CAE}"/>
              </a:ext>
            </a:extLst>
          </xdr:cNvPr>
          <xdr:cNvSpPr txBox="1"/>
        </xdr:nvSpPr>
        <xdr:spPr>
          <a:xfrm>
            <a:off x="4420759" y="590549"/>
            <a:ext cx="1078499"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Revenue Star</a:t>
            </a:r>
          </a:p>
        </xdr:txBody>
      </xdr:sp>
    </xdr:grpSp>
    <xdr:clientData/>
  </xdr:twoCellAnchor>
  <xdr:twoCellAnchor>
    <xdr:from>
      <xdr:col>11</xdr:col>
      <xdr:colOff>105542</xdr:colOff>
      <xdr:row>2</xdr:row>
      <xdr:rowOff>120650</xdr:rowOff>
    </xdr:from>
    <xdr:to>
      <xdr:col>13</xdr:col>
      <xdr:colOff>355331</xdr:colOff>
      <xdr:row>5</xdr:row>
      <xdr:rowOff>69839</xdr:rowOff>
    </xdr:to>
    <xdr:grpSp>
      <xdr:nvGrpSpPr>
        <xdr:cNvPr id="26" name="Group 25">
          <a:extLst>
            <a:ext uri="{FF2B5EF4-FFF2-40B4-BE49-F238E27FC236}">
              <a16:creationId xmlns:a16="http://schemas.microsoft.com/office/drawing/2014/main" id="{D7D3F900-B40D-402A-85F7-C3C256C93F51}"/>
            </a:ext>
          </a:extLst>
        </xdr:cNvPr>
        <xdr:cNvGrpSpPr/>
      </xdr:nvGrpSpPr>
      <xdr:grpSpPr>
        <a:xfrm>
          <a:off x="6839717" y="501650"/>
          <a:ext cx="1468989" cy="520689"/>
          <a:chOff x="4420759" y="314325"/>
          <a:chExt cx="1082868" cy="523875"/>
        </a:xfrm>
      </xdr:grpSpPr>
      <xdr:sp macro="" textlink="PivotTable!B19">
        <xdr:nvSpPr>
          <xdr:cNvPr id="27" name="Rectangle: Rounded Corners 26">
            <a:extLst>
              <a:ext uri="{FF2B5EF4-FFF2-40B4-BE49-F238E27FC236}">
                <a16:creationId xmlns:a16="http://schemas.microsoft.com/office/drawing/2014/main" id="{A71EF2DA-A4A7-7FF8-B82F-042A6F451FEB}"/>
              </a:ext>
            </a:extLst>
          </xdr:cNvPr>
          <xdr:cNvSpPr/>
        </xdr:nvSpPr>
        <xdr:spPr>
          <a:xfrm>
            <a:off x="4429126" y="314325"/>
            <a:ext cx="1074501" cy="523875"/>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fld id="{5E7F055C-E95F-4112-98C8-719851BEE63E}" type="TxLink">
              <a:rPr lang="en-US" sz="1100" b="0" i="0" u="none" strike="noStrike">
                <a:solidFill>
                  <a:schemeClr val="bg1"/>
                </a:solidFill>
                <a:latin typeface="Calibri"/>
                <a:cs typeface="Calibri"/>
              </a:rPr>
              <a:pPr algn="ctr"/>
              <a:t>Americano with Milk</a:t>
            </a:fld>
            <a:endParaRPr lang="en-US" sz="1100">
              <a:solidFill>
                <a:schemeClr val="bg1"/>
              </a:solidFill>
            </a:endParaRPr>
          </a:p>
        </xdr:txBody>
      </xdr:sp>
      <xdr:sp macro="" textlink="">
        <xdr:nvSpPr>
          <xdr:cNvPr id="28" name="TextBox 27">
            <a:extLst>
              <a:ext uri="{FF2B5EF4-FFF2-40B4-BE49-F238E27FC236}">
                <a16:creationId xmlns:a16="http://schemas.microsoft.com/office/drawing/2014/main" id="{5F1250BA-497F-6C47-FAB0-AEC4C6EB47FE}"/>
              </a:ext>
            </a:extLst>
          </xdr:cNvPr>
          <xdr:cNvSpPr txBox="1"/>
        </xdr:nvSpPr>
        <xdr:spPr>
          <a:xfrm>
            <a:off x="4420759" y="590549"/>
            <a:ext cx="1078499"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Best Seller</a:t>
            </a:r>
          </a:p>
        </xdr:txBody>
      </xdr:sp>
    </xdr:grpSp>
    <xdr:clientData/>
  </xdr:twoCellAnchor>
  <xdr:twoCellAnchor>
    <xdr:from>
      <xdr:col>1</xdr:col>
      <xdr:colOff>27928</xdr:colOff>
      <xdr:row>0</xdr:row>
      <xdr:rowOff>0</xdr:rowOff>
    </xdr:from>
    <xdr:to>
      <xdr:col>12</xdr:col>
      <xdr:colOff>562458</xdr:colOff>
      <xdr:row>1</xdr:row>
      <xdr:rowOff>175260</xdr:rowOff>
    </xdr:to>
    <xdr:sp macro="" textlink="">
      <xdr:nvSpPr>
        <xdr:cNvPr id="1024" name="Rectangle: Rounded Corners 1023">
          <a:extLst>
            <a:ext uri="{FF2B5EF4-FFF2-40B4-BE49-F238E27FC236}">
              <a16:creationId xmlns:a16="http://schemas.microsoft.com/office/drawing/2014/main" id="{0D477E5B-5716-1805-AC37-062FACE14333}"/>
            </a:ext>
          </a:extLst>
        </xdr:cNvPr>
        <xdr:cNvSpPr/>
      </xdr:nvSpPr>
      <xdr:spPr>
        <a:xfrm>
          <a:off x="637528" y="0"/>
          <a:ext cx="7268705" cy="36576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2000" b="1"/>
            <a:t>Coffee Sales Dashboard (Mar 2024</a:t>
          </a:r>
          <a:r>
            <a:rPr lang="en-US" sz="2000" b="1" baseline="0"/>
            <a:t> - Feb 2025)</a:t>
          </a:r>
          <a:endParaRPr lang="en-US" sz="2000" b="1"/>
        </a:p>
      </xdr:txBody>
    </xdr:sp>
    <xdr:clientData/>
  </xdr:twoCellAnchor>
  <mc:AlternateContent xmlns:mc="http://schemas.openxmlformats.org/markup-compatibility/2006">
    <mc:Choice xmlns:a14="http://schemas.microsoft.com/office/drawing/2010/main" Requires="a14">
      <xdr:twoCellAnchor editAs="oneCell">
        <xdr:from>
          <xdr:col>7</xdr:col>
          <xdr:colOff>58616</xdr:colOff>
          <xdr:row>27</xdr:row>
          <xdr:rowOff>58595</xdr:rowOff>
        </xdr:from>
        <xdr:to>
          <xdr:col>13</xdr:col>
          <xdr:colOff>523892</xdr:colOff>
          <xdr:row>32</xdr:row>
          <xdr:rowOff>111935</xdr:rowOff>
        </xdr:to>
        <xdr:pic>
          <xdr:nvPicPr>
            <xdr:cNvPr id="17" name="Picture 16">
              <a:extLst>
                <a:ext uri="{FF2B5EF4-FFF2-40B4-BE49-F238E27FC236}">
                  <a16:creationId xmlns:a16="http://schemas.microsoft.com/office/drawing/2014/main" id="{BA50025B-31C6-CB94-2898-DAE38FCACD81}"/>
                </a:ext>
              </a:extLst>
            </xdr:cNvPr>
            <xdr:cNvPicPr>
              <a:picLocks noChangeArrowheads="1"/>
              <a:extLst>
                <a:ext uri="{84589F7E-364E-4C9E-8A38-B11213B215E9}">
                  <a14:cameraTool cellRange="PivotTable!$I$14:$N$21" spid="_x0000_s1053"/>
                </a:ext>
              </a:extLst>
            </xdr:cNvPicPr>
          </xdr:nvPicPr>
          <xdr:blipFill>
            <a:blip xmlns:r="http://schemas.openxmlformats.org/officeDocument/2006/relationships" r:embed="rId4"/>
            <a:srcRect/>
            <a:stretch>
              <a:fillRect/>
            </a:stretch>
          </xdr:blipFill>
          <xdr:spPr bwMode="auto">
            <a:xfrm>
              <a:off x="4350404" y="5142287"/>
              <a:ext cx="4120218" cy="99476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60978</xdr:colOff>
      <xdr:row>19</xdr:row>
      <xdr:rowOff>57148</xdr:rowOff>
    </xdr:from>
    <xdr:to>
      <xdr:col>13</xdr:col>
      <xdr:colOff>518178</xdr:colOff>
      <xdr:row>26</xdr:row>
      <xdr:rowOff>186688</xdr:rowOff>
    </xdr:to>
    <xdr:graphicFrame macro="">
      <xdr:nvGraphicFramePr>
        <xdr:cNvPr id="6" name="Chart 5">
          <a:extLst>
            <a:ext uri="{FF2B5EF4-FFF2-40B4-BE49-F238E27FC236}">
              <a16:creationId xmlns:a16="http://schemas.microsoft.com/office/drawing/2014/main" id="{28C3EF00-DE22-4C26-9D79-F996E3DC8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set\Coffee%20Shop%20Transactions%20&amp;%20Revenue%20Dataset\Coffe_sales_clean.xlsx" TargetMode="External"/><Relationship Id="rId1" Type="http://schemas.openxmlformats.org/officeDocument/2006/relationships/externalLinkPath" Target="Coffe_sales_cle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ean_Data"/>
      <sheetName val="Formulas"/>
      <sheetName val="Coffe_sales_clean"/>
    </sheetNames>
    <sheetDataSet>
      <sheetData sheetId="0" refreshError="1"/>
      <sheetData sheetId="1" refreshError="1"/>
      <sheetData sheetId="2"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133.868018171299" backgroundQuery="1" createdVersion="8" refreshedVersion="8" minRefreshableVersion="3" recordCount="0" supportSubquery="1" supportAdvancedDrill="1" xr:uid="{A0E8D49E-E954-437A-82D6-78311F20F817}">
  <cacheSource type="external" connectionId="1"/>
  <cacheFields count="4">
    <cacheField name="[Coffee_sales_clean].[Coffee Name].[Coffee Name]" caption="Coffee Name" numFmtId="0" hierarchy="5" level="1">
      <sharedItems count="8">
        <s v="Americano"/>
        <s v="Americano with Milk"/>
        <s v="Cappuccino"/>
        <s v="Cocoa"/>
        <s v="Cortado"/>
        <s v="Espresso"/>
        <s v="Hot Chocolate"/>
        <s v="Latte"/>
      </sharedItems>
    </cacheField>
    <cacheField name="[Measures].[Sum of Amount]" caption="Sum of Amount" numFmtId="0" hierarchy="15" level="32767"/>
    <cacheField name="[Measures].[Count of Amount]" caption="Count of Amount" numFmtId="0" hierarchy="16" level="32767"/>
    <cacheField name="[Coffee_sales_clean].[Period].[Period]" caption="Period" numFmtId="0" hierarchy="4" level="1">
      <sharedItems containsSemiMixedTypes="0" containsNonDate="0" containsString="0"/>
    </cacheField>
  </cacheFields>
  <cacheHierarchies count="20">
    <cacheHierarchy uniqueName="[Coffee_sales_clean].[Invoice]" caption="Invoice" attribute="1" defaultMemberUniqueName="[Coffee_sales_clean].[Invoice].[All]" allUniqueName="[Coffee_sales_clean].[Invoice].[All]" dimensionUniqueName="[Coffee_sales_clean]" displayFolder="" count="0" memberValueDatatype="130" unbalanced="0"/>
    <cacheHierarchy uniqueName="[Coffee_sales_clean].[Transaction Day]" caption="Transaction Day" attribute="1" defaultMemberUniqueName="[Coffee_sales_clean].[Transaction Day].[All]" allUniqueName="[Coffee_sales_clean].[Transaction Day].[All]" dimensionUniqueName="[Coffee_sales_clean]" displayFolder="" count="0" memberValueDatatype="130" unbalanced="0"/>
    <cacheHierarchy uniqueName="[Coffee_sales_clean].[Transaction Date]" caption="Transaction Date" attribute="1" time="1" defaultMemberUniqueName="[Coffee_sales_clean].[Transaction Date].[All]" allUniqueName="[Coffee_sales_clean].[Transaction Date].[All]" dimensionUniqueName="[Coffee_sales_clean]" displayFolder="" count="0" memberValueDatatype="7" unbalanced="0"/>
    <cacheHierarchy uniqueName="[Coffee_sales_clean].[Transaction Time]" caption="Transaction Time" attribute="1" time="1" defaultMemberUniqueName="[Coffee_sales_clean].[Transaction Time].[All]" allUniqueName="[Coffee_sales_clean].[Transaction Time].[All]" dimensionUniqueName="[Coffee_sales_clean]" displayFolder="" count="0" memberValueDatatype="7" unbalanced="0"/>
    <cacheHierarchy uniqueName="[Coffee_sales_clean].[Period]" caption="Period" attribute="1" defaultMemberUniqueName="[Coffee_sales_clean].[Period].[All]" allUniqueName="[Coffee_sales_clean].[Period].[All]" dimensionUniqueName="[Coffee_sales_clean]" displayFolder="" count="2" memberValueDatatype="130" unbalanced="0">
      <fieldsUsage count="2">
        <fieldUsage x="-1"/>
        <fieldUsage x="3"/>
      </fieldsUsage>
    </cacheHierarchy>
    <cacheHierarchy uniqueName="[Coffee_sales_clean].[Coffee Name]" caption="Coffee Name" attribute="1" defaultMemberUniqueName="[Coffee_sales_clean].[Coffee Name].[All]" allUniqueName="[Coffee_sales_clean].[Coffee Name].[All]" dimensionUniqueName="[Coffee_sales_clean]" displayFolder="" count="2" memberValueDatatype="130" unbalanced="0">
      <fieldsUsage count="2">
        <fieldUsage x="-1"/>
        <fieldUsage x="0"/>
      </fieldsUsage>
    </cacheHierarchy>
    <cacheHierarchy uniqueName="[Coffee_sales_clean].[Amount]" caption="Amount" attribute="1" defaultMemberUniqueName="[Coffee_sales_clean].[Amount].[All]" allUniqueName="[Coffee_sales_clean].[Amount].[All]" dimensionUniqueName="[Coffee_sales_clean]" displayFolder="" count="0" memberValueDatatype="5" unbalanced="0"/>
    <cacheHierarchy uniqueName="[Coffee_sales_clean].[Transaction Date (Year)]" caption="Transaction Date (Year)" attribute="1" defaultMemberUniqueName="[Coffee_sales_clean].[Transaction Date (Year)].[All]" allUniqueName="[Coffee_sales_clean].[Transaction Date (Year)].[All]" dimensionUniqueName="[Coffee_sales_clean]" displayFolder="" count="2" memberValueDatatype="130" unbalanced="0"/>
    <cacheHierarchy uniqueName="[Coffee_sales_clean].[Transaction Date (Quarter)]" caption="Transaction Date (Quarter)" attribute="1" defaultMemberUniqueName="[Coffee_sales_clean].[Transaction Date (Quarter)].[All]" allUniqueName="[Coffee_sales_clean].[Transaction Date (Quarter)].[All]" dimensionUniqueName="[Coffee_sales_clean]" displayFolder="" count="0" memberValueDatatype="130" unbalanced="0"/>
    <cacheHierarchy uniqueName="[Coffee_sales_clean].[Transaction Date (Month)]" caption="Transaction Date (Month)" attribute="1" defaultMemberUniqueName="[Coffee_sales_clean].[Transaction Date (Month)].[All]" allUniqueName="[Coffee_sales_clean].[Transaction Date (Month)].[All]" dimensionUniqueName="[Coffee_sales_clean]" displayFolder="" count="2" memberValueDatatype="130" unbalanced="0"/>
    <cacheHierarchy uniqueName="[Coffee_sales_clean].[Transaction Date (Day)]" caption="Transaction Date (Day)" attribute="1" defaultMemberUniqueName="[Coffee_sales_clean].[Transaction Date (Day)].[All]" allUniqueName="[Coffee_sales_clean].[Transaction Date (Day)].[All]" dimensionUniqueName="[Coffee_sales_clean]" displayFolder="" count="0" memberValueDatatype="130" unbalanced="0"/>
    <cacheHierarchy uniqueName="[Coffee_sales_clean].[Transaction Date (Day Index)]" caption="Transaction Date (Day Index)" attribute="1" defaultMemberUniqueName="[Coffee_sales_clean].[Transaction Date (Day Index)].[All]" allUniqueName="[Coffee_sales_clean].[Transaction Date (Day Index)].[All]" dimensionUniqueName="[Coffee_sales_clean]" displayFolder="" count="0" memberValueDatatype="5" unbalanced="0" hidden="1"/>
    <cacheHierarchy uniqueName="[Coffee_sales_clean].[Transaction Date (Month Index)]" caption="Transaction Date (Month Index)" attribute="1" defaultMemberUniqueName="[Coffee_sales_clean].[Transaction Date (Month Index)].[All]" allUniqueName="[Coffee_sales_clean].[Transaction Date (Month Index)].[All]" dimensionUniqueName="[Coffee_sales_clean]" displayFolder="" count="0" memberValueDatatype="20" unbalanced="0" hidden="1"/>
    <cacheHierarchy uniqueName="[Measures].[__XL_Count Coffee_sales_clean]" caption="__XL_Count Coffee_sales_clean" measure="1" displayFolder="" measureGroup="Coffee_sales_clean" count="0" hidden="1"/>
    <cacheHierarchy uniqueName="[Measures].[__No measures defined]" caption="__No measures defined" measure="1" displayFolder="" count="0" hidden="1"/>
    <cacheHierarchy uniqueName="[Measures].[Sum of Amount]" caption="Sum of Amount" measure="1" displayFolder="" measureGroup="Coffee_sales_clean"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Coffee_sales_clean"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Coffee Name]" caption="Count of Coffee Name" measure="1" displayFolder="" measureGroup="Coffee_sales_clean" count="0" hidden="1">
      <extLst>
        <ext xmlns:x15="http://schemas.microsoft.com/office/spreadsheetml/2010/11/main" uri="{B97F6D7D-B522-45F9-BDA1-12C45D357490}">
          <x15:cacheHierarchy aggregatedColumn="5"/>
        </ext>
      </extLst>
    </cacheHierarchy>
    <cacheHierarchy uniqueName="[Measures].[Count of Period]" caption="Count of Period" measure="1" displayFolder="" measureGroup="Coffee_sales_clean"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Coffee_sales_clean" count="0" hidden="1">
      <extLst>
        <ext xmlns:x15="http://schemas.microsoft.com/office/spreadsheetml/2010/11/main" uri="{B97F6D7D-B522-45F9-BDA1-12C45D357490}">
          <x15:cacheHierarchy aggregatedColumn="6"/>
        </ext>
      </extLst>
    </cacheHierarchy>
  </cacheHierarchies>
  <kpis count="0"/>
  <dimensions count="2">
    <dimension name="Coffee_sales_clean" uniqueName="[Coffee_sales_clean]" caption="Coffee_sales_clean"/>
    <dimension measure="1" name="Measures" uniqueName="[Measures]" caption="Measures"/>
  </dimensions>
  <measureGroups count="1">
    <measureGroup name="Coffee_sales_clean" caption="Coffee_sal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133.868015277774" backgroundQuery="1" createdVersion="8" refreshedVersion="8" minRefreshableVersion="3" recordCount="0" supportSubquery="1" supportAdvancedDrill="1" xr:uid="{4C3F0DA1-1475-4B7D-8373-5A82334EDCE9}">
  <cacheSource type="external" connectionId="1"/>
  <cacheFields count="2">
    <cacheField name="[Coffee_sales_clean].[Period].[Period]" caption="Period" numFmtId="0" hierarchy="4" level="1">
      <sharedItems count="5">
        <s v="Afternoon Slump"/>
        <s v="Evening"/>
        <s v="Late Night"/>
        <s v="Lunch Break"/>
        <s v="Morning Rush"/>
      </sharedItems>
    </cacheField>
    <cacheField name="[Measures].[Sum of Amount]" caption="Sum of Amount" numFmtId="0" hierarchy="15" level="32767"/>
  </cacheFields>
  <cacheHierarchies count="20">
    <cacheHierarchy uniqueName="[Coffee_sales_clean].[Invoice]" caption="Invoice" attribute="1" defaultMemberUniqueName="[Coffee_sales_clean].[Invoice].[All]" allUniqueName="[Coffee_sales_clean].[Invoice].[All]" dimensionUniqueName="[Coffee_sales_clean]" displayFolder="" count="0" memberValueDatatype="130" unbalanced="0"/>
    <cacheHierarchy uniqueName="[Coffee_sales_clean].[Transaction Day]" caption="Transaction Day" attribute="1" defaultMemberUniqueName="[Coffee_sales_clean].[Transaction Day].[All]" allUniqueName="[Coffee_sales_clean].[Transaction Day].[All]" dimensionUniqueName="[Coffee_sales_clean]" displayFolder="" count="0" memberValueDatatype="130" unbalanced="0"/>
    <cacheHierarchy uniqueName="[Coffee_sales_clean].[Transaction Date]" caption="Transaction Date" attribute="1" time="1" defaultMemberUniqueName="[Coffee_sales_clean].[Transaction Date].[All]" allUniqueName="[Coffee_sales_clean].[Transaction Date].[All]" dimensionUniqueName="[Coffee_sales_clean]" displayFolder="" count="0" memberValueDatatype="7" unbalanced="0"/>
    <cacheHierarchy uniqueName="[Coffee_sales_clean].[Transaction Time]" caption="Transaction Time" attribute="1" time="1" defaultMemberUniqueName="[Coffee_sales_clean].[Transaction Time].[All]" allUniqueName="[Coffee_sales_clean].[Transaction Time].[All]" dimensionUniqueName="[Coffee_sales_clean]" displayFolder="" count="0" memberValueDatatype="7" unbalanced="0"/>
    <cacheHierarchy uniqueName="[Coffee_sales_clean].[Period]" caption="Period" attribute="1" defaultMemberUniqueName="[Coffee_sales_clean].[Period].[All]" allUniqueName="[Coffee_sales_clean].[Period].[All]" dimensionUniqueName="[Coffee_sales_clean]" displayFolder="" count="2" memberValueDatatype="130" unbalanced="0">
      <fieldsUsage count="2">
        <fieldUsage x="-1"/>
        <fieldUsage x="0"/>
      </fieldsUsage>
    </cacheHierarchy>
    <cacheHierarchy uniqueName="[Coffee_sales_clean].[Coffee Name]" caption="Coffee Name" attribute="1" defaultMemberUniqueName="[Coffee_sales_clean].[Coffee Name].[All]" allUniqueName="[Coffee_sales_clean].[Coffee Name].[All]" dimensionUniqueName="[Coffee_sales_clean]" displayFolder="" count="2" memberValueDatatype="130" unbalanced="0"/>
    <cacheHierarchy uniqueName="[Coffee_sales_clean].[Amount]" caption="Amount" attribute="1" defaultMemberUniqueName="[Coffee_sales_clean].[Amount].[All]" allUniqueName="[Coffee_sales_clean].[Amount].[All]" dimensionUniqueName="[Coffee_sales_clean]" displayFolder="" count="0" memberValueDatatype="5" unbalanced="0"/>
    <cacheHierarchy uniqueName="[Coffee_sales_clean].[Transaction Date (Year)]" caption="Transaction Date (Year)" attribute="1" defaultMemberUniqueName="[Coffee_sales_clean].[Transaction Date (Year)].[All]" allUniqueName="[Coffee_sales_clean].[Transaction Date (Year)].[All]" dimensionUniqueName="[Coffee_sales_clean]" displayFolder="" count="2" memberValueDatatype="130" unbalanced="0"/>
    <cacheHierarchy uniqueName="[Coffee_sales_clean].[Transaction Date (Quarter)]" caption="Transaction Date (Quarter)" attribute="1" defaultMemberUniqueName="[Coffee_sales_clean].[Transaction Date (Quarter)].[All]" allUniqueName="[Coffee_sales_clean].[Transaction Date (Quarter)].[All]" dimensionUniqueName="[Coffee_sales_clean]" displayFolder="" count="0" memberValueDatatype="130" unbalanced="0"/>
    <cacheHierarchy uniqueName="[Coffee_sales_clean].[Transaction Date (Month)]" caption="Transaction Date (Month)" attribute="1" defaultMemberUniqueName="[Coffee_sales_clean].[Transaction Date (Month)].[All]" allUniqueName="[Coffee_sales_clean].[Transaction Date (Month)].[All]" dimensionUniqueName="[Coffee_sales_clean]" displayFolder="" count="2" memberValueDatatype="130" unbalanced="0"/>
    <cacheHierarchy uniqueName="[Coffee_sales_clean].[Transaction Date (Day)]" caption="Transaction Date (Day)" attribute="1" defaultMemberUniqueName="[Coffee_sales_clean].[Transaction Date (Day)].[All]" allUniqueName="[Coffee_sales_clean].[Transaction Date (Day)].[All]" dimensionUniqueName="[Coffee_sales_clean]" displayFolder="" count="0" memberValueDatatype="130" unbalanced="0"/>
    <cacheHierarchy uniqueName="[Coffee_sales_clean].[Transaction Date (Day Index)]" caption="Transaction Date (Day Index)" attribute="1" defaultMemberUniqueName="[Coffee_sales_clean].[Transaction Date (Day Index)].[All]" allUniqueName="[Coffee_sales_clean].[Transaction Date (Day Index)].[All]" dimensionUniqueName="[Coffee_sales_clean]" displayFolder="" count="0" memberValueDatatype="5" unbalanced="0" hidden="1"/>
    <cacheHierarchy uniqueName="[Coffee_sales_clean].[Transaction Date (Month Index)]" caption="Transaction Date (Month Index)" attribute="1" defaultMemberUniqueName="[Coffee_sales_clean].[Transaction Date (Month Index)].[All]" allUniqueName="[Coffee_sales_clean].[Transaction Date (Month Index)].[All]" dimensionUniqueName="[Coffee_sales_clean]" displayFolder="" count="0" memberValueDatatype="20" unbalanced="0" hidden="1"/>
    <cacheHierarchy uniqueName="[Measures].[__XL_Count Coffee_sales_clean]" caption="__XL_Count Coffee_sales_clean" measure="1" displayFolder="" measureGroup="Coffee_sales_clean" count="0" hidden="1"/>
    <cacheHierarchy uniqueName="[Measures].[__No measures defined]" caption="__No measures defined" measure="1" displayFolder="" count="0" hidden="1"/>
    <cacheHierarchy uniqueName="[Measures].[Sum of Amount]" caption="Sum of Amount" measure="1" displayFolder="" measureGroup="Coffee_sales_clean"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Coffee_sales_clean" count="0" hidden="1">
      <extLst>
        <ext xmlns:x15="http://schemas.microsoft.com/office/spreadsheetml/2010/11/main" uri="{B97F6D7D-B522-45F9-BDA1-12C45D357490}">
          <x15:cacheHierarchy aggregatedColumn="6"/>
        </ext>
      </extLst>
    </cacheHierarchy>
    <cacheHierarchy uniqueName="[Measures].[Count of Coffee Name]" caption="Count of Coffee Name" measure="1" displayFolder="" measureGroup="Coffee_sales_clean" count="0" hidden="1">
      <extLst>
        <ext xmlns:x15="http://schemas.microsoft.com/office/spreadsheetml/2010/11/main" uri="{B97F6D7D-B522-45F9-BDA1-12C45D357490}">
          <x15:cacheHierarchy aggregatedColumn="5"/>
        </ext>
      </extLst>
    </cacheHierarchy>
    <cacheHierarchy uniqueName="[Measures].[Count of Period]" caption="Count of Period" measure="1" displayFolder="" measureGroup="Coffee_sales_clean"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Coffee_sales_clean" count="0" hidden="1">
      <extLst>
        <ext xmlns:x15="http://schemas.microsoft.com/office/spreadsheetml/2010/11/main" uri="{B97F6D7D-B522-45F9-BDA1-12C45D357490}">
          <x15:cacheHierarchy aggregatedColumn="6"/>
        </ext>
      </extLst>
    </cacheHierarchy>
  </cacheHierarchies>
  <kpis count="0"/>
  <dimensions count="2">
    <dimension name="Coffee_sales_clean" uniqueName="[Coffee_sales_clean]" caption="Coffee_sales_clean"/>
    <dimension measure="1" name="Measures" uniqueName="[Measures]" caption="Measures"/>
  </dimensions>
  <measureGroups count="1">
    <measureGroup name="Coffee_sales_clean" caption="Coffee_sal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133.868020254631" backgroundQuery="1" createdVersion="8" refreshedVersion="8" minRefreshableVersion="3" recordCount="0" supportSubquery="1" supportAdvancedDrill="1" xr:uid="{3DD8E488-DF46-4155-8862-E8F00387B3B5}">
  <cacheSource type="external" connectionId="1"/>
  <cacheFields count="3">
    <cacheField name="[Coffee_sales_clean].[Coffee Name].[Coffee Name]" caption="Coffee Name" numFmtId="0" hierarchy="5" level="1">
      <sharedItems count="8">
        <s v="Americano"/>
        <s v="Americano with Milk"/>
        <s v="Cappuccino"/>
        <s v="Cocoa"/>
        <s v="Cortado"/>
        <s v="Espresso"/>
        <s v="Hot Chocolate"/>
        <s v="Latte"/>
      </sharedItems>
    </cacheField>
    <cacheField name="[Coffee_sales_clean].[Period].[Period]" caption="Period" numFmtId="0" hierarchy="4" level="1">
      <sharedItems count="5">
        <s v="Afternoon Slump"/>
        <s v="Evening"/>
        <s v="Late Night"/>
        <s v="Lunch Break"/>
        <s v="Morning Rush"/>
      </sharedItems>
    </cacheField>
    <cacheField name="[Measures].[Sum of Amount]" caption="Sum of Amount" numFmtId="0" hierarchy="15" level="32767"/>
  </cacheFields>
  <cacheHierarchies count="20">
    <cacheHierarchy uniqueName="[Coffee_sales_clean].[Invoice]" caption="Invoice" attribute="1" defaultMemberUniqueName="[Coffee_sales_clean].[Invoice].[All]" allUniqueName="[Coffee_sales_clean].[Invoice].[All]" dimensionUniqueName="[Coffee_sales_clean]" displayFolder="" count="0" memberValueDatatype="130" unbalanced="0"/>
    <cacheHierarchy uniqueName="[Coffee_sales_clean].[Transaction Day]" caption="Transaction Day" attribute="1" defaultMemberUniqueName="[Coffee_sales_clean].[Transaction Day].[All]" allUniqueName="[Coffee_sales_clean].[Transaction Day].[All]" dimensionUniqueName="[Coffee_sales_clean]" displayFolder="" count="0" memberValueDatatype="130" unbalanced="0"/>
    <cacheHierarchy uniqueName="[Coffee_sales_clean].[Transaction Date]" caption="Transaction Date" attribute="1" time="1" defaultMemberUniqueName="[Coffee_sales_clean].[Transaction Date].[All]" allUniqueName="[Coffee_sales_clean].[Transaction Date].[All]" dimensionUniqueName="[Coffee_sales_clean]" displayFolder="" count="0" memberValueDatatype="7" unbalanced="0"/>
    <cacheHierarchy uniqueName="[Coffee_sales_clean].[Transaction Time]" caption="Transaction Time" attribute="1" time="1" defaultMemberUniqueName="[Coffee_sales_clean].[Transaction Time].[All]" allUniqueName="[Coffee_sales_clean].[Transaction Time].[All]" dimensionUniqueName="[Coffee_sales_clean]" displayFolder="" count="0" memberValueDatatype="7" unbalanced="0"/>
    <cacheHierarchy uniqueName="[Coffee_sales_clean].[Period]" caption="Period" attribute="1" defaultMemberUniqueName="[Coffee_sales_clean].[Period].[All]" allUniqueName="[Coffee_sales_clean].[Period].[All]" dimensionUniqueName="[Coffee_sales_clean]" displayFolder="" count="2" memberValueDatatype="130" unbalanced="0">
      <fieldsUsage count="2">
        <fieldUsage x="-1"/>
        <fieldUsage x="1"/>
      </fieldsUsage>
    </cacheHierarchy>
    <cacheHierarchy uniqueName="[Coffee_sales_clean].[Coffee Name]" caption="Coffee Name" attribute="1" defaultMemberUniqueName="[Coffee_sales_clean].[Coffee Name].[All]" allUniqueName="[Coffee_sales_clean].[Coffee Name].[All]" dimensionUniqueName="[Coffee_sales_clean]" displayFolder="" count="2" memberValueDatatype="130" unbalanced="0">
      <fieldsUsage count="2">
        <fieldUsage x="-1"/>
        <fieldUsage x="0"/>
      </fieldsUsage>
    </cacheHierarchy>
    <cacheHierarchy uniqueName="[Coffee_sales_clean].[Amount]" caption="Amount" attribute="1" defaultMemberUniqueName="[Coffee_sales_clean].[Amount].[All]" allUniqueName="[Coffee_sales_clean].[Amount].[All]" dimensionUniqueName="[Coffee_sales_clean]" displayFolder="" count="0" memberValueDatatype="5" unbalanced="0"/>
    <cacheHierarchy uniqueName="[Coffee_sales_clean].[Transaction Date (Year)]" caption="Transaction Date (Year)" attribute="1" defaultMemberUniqueName="[Coffee_sales_clean].[Transaction Date (Year)].[All]" allUniqueName="[Coffee_sales_clean].[Transaction Date (Year)].[All]" dimensionUniqueName="[Coffee_sales_clean]" displayFolder="" count="2" memberValueDatatype="130" unbalanced="0"/>
    <cacheHierarchy uniqueName="[Coffee_sales_clean].[Transaction Date (Quarter)]" caption="Transaction Date (Quarter)" attribute="1" defaultMemberUniqueName="[Coffee_sales_clean].[Transaction Date (Quarter)].[All]" allUniqueName="[Coffee_sales_clean].[Transaction Date (Quarter)].[All]" dimensionUniqueName="[Coffee_sales_clean]" displayFolder="" count="0" memberValueDatatype="130" unbalanced="0"/>
    <cacheHierarchy uniqueName="[Coffee_sales_clean].[Transaction Date (Month)]" caption="Transaction Date (Month)" attribute="1" defaultMemberUniqueName="[Coffee_sales_clean].[Transaction Date (Month)].[All]" allUniqueName="[Coffee_sales_clean].[Transaction Date (Month)].[All]" dimensionUniqueName="[Coffee_sales_clean]" displayFolder="" count="2" memberValueDatatype="130" unbalanced="0"/>
    <cacheHierarchy uniqueName="[Coffee_sales_clean].[Transaction Date (Day)]" caption="Transaction Date (Day)" attribute="1" defaultMemberUniqueName="[Coffee_sales_clean].[Transaction Date (Day)].[All]" allUniqueName="[Coffee_sales_clean].[Transaction Date (Day)].[All]" dimensionUniqueName="[Coffee_sales_clean]" displayFolder="" count="0" memberValueDatatype="130" unbalanced="0"/>
    <cacheHierarchy uniqueName="[Coffee_sales_clean].[Transaction Date (Day Index)]" caption="Transaction Date (Day Index)" attribute="1" defaultMemberUniqueName="[Coffee_sales_clean].[Transaction Date (Day Index)].[All]" allUniqueName="[Coffee_sales_clean].[Transaction Date (Day Index)].[All]" dimensionUniqueName="[Coffee_sales_clean]" displayFolder="" count="0" memberValueDatatype="5" unbalanced="0" hidden="1"/>
    <cacheHierarchy uniqueName="[Coffee_sales_clean].[Transaction Date (Month Index)]" caption="Transaction Date (Month Index)" attribute="1" defaultMemberUniqueName="[Coffee_sales_clean].[Transaction Date (Month Index)].[All]" allUniqueName="[Coffee_sales_clean].[Transaction Date (Month Index)].[All]" dimensionUniqueName="[Coffee_sales_clean]" displayFolder="" count="0" memberValueDatatype="20" unbalanced="0" hidden="1"/>
    <cacheHierarchy uniqueName="[Measures].[__XL_Count Coffee_sales_clean]" caption="__XL_Count Coffee_sales_clean" measure="1" displayFolder="" measureGroup="Coffee_sales_clean" count="0" hidden="1"/>
    <cacheHierarchy uniqueName="[Measures].[__No measures defined]" caption="__No measures defined" measure="1" displayFolder="" count="0" hidden="1"/>
    <cacheHierarchy uniqueName="[Measures].[Sum of Amount]" caption="Sum of Amount" measure="1" displayFolder="" measureGroup="Coffee_sales_clean"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Coffee_sales_clean" count="0" hidden="1">
      <extLst>
        <ext xmlns:x15="http://schemas.microsoft.com/office/spreadsheetml/2010/11/main" uri="{B97F6D7D-B522-45F9-BDA1-12C45D357490}">
          <x15:cacheHierarchy aggregatedColumn="6"/>
        </ext>
      </extLst>
    </cacheHierarchy>
    <cacheHierarchy uniqueName="[Measures].[Count of Coffee Name]" caption="Count of Coffee Name" measure="1" displayFolder="" measureGroup="Coffee_sales_clean" count="0" hidden="1">
      <extLst>
        <ext xmlns:x15="http://schemas.microsoft.com/office/spreadsheetml/2010/11/main" uri="{B97F6D7D-B522-45F9-BDA1-12C45D357490}">
          <x15:cacheHierarchy aggregatedColumn="5"/>
        </ext>
      </extLst>
    </cacheHierarchy>
    <cacheHierarchy uniqueName="[Measures].[Count of Period]" caption="Count of Period" measure="1" displayFolder="" measureGroup="Coffee_sales_clean"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Coffee_sales_clean" count="0" hidden="1">
      <extLst>
        <ext xmlns:x15="http://schemas.microsoft.com/office/spreadsheetml/2010/11/main" uri="{B97F6D7D-B522-45F9-BDA1-12C45D357490}">
          <x15:cacheHierarchy aggregatedColumn="6"/>
        </ext>
      </extLst>
    </cacheHierarchy>
  </cacheHierarchies>
  <kpis count="0"/>
  <dimensions count="2">
    <dimension name="Coffee_sales_clean" uniqueName="[Coffee_sales_clean]" caption="Coffee_sales_clean"/>
    <dimension measure="1" name="Measures" uniqueName="[Measures]" caption="Measures"/>
  </dimensions>
  <measureGroups count="1">
    <measureGroup name="Coffee_sales_clean" caption="Coffee_sal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133.868021643517" backgroundQuery="1" createdVersion="8" refreshedVersion="8" minRefreshableVersion="3" recordCount="0" supportSubquery="1" supportAdvancedDrill="1" xr:uid="{458A5D91-B9AC-448B-91DF-307FB7AE2652}">
  <cacheSource type="external" connectionId="1"/>
  <cacheFields count="3">
    <cacheField name="[Coffee_sales_clean].[Period].[Period]" caption="Period" numFmtId="0" hierarchy="4" level="1">
      <sharedItems count="5">
        <s v="Afternoon Slump"/>
        <s v="Evening"/>
        <s v="Late Night"/>
        <s v="Lunch Break"/>
        <s v="Morning Rush"/>
      </sharedItems>
    </cacheField>
    <cacheField name="[Coffee_sales_clean].[Transaction Day].[Transaction Day]" caption="Transaction Day" numFmtId="0" hierarchy="1" level="1">
      <sharedItems count="7">
        <s v="Friday"/>
        <s v="Monday"/>
        <s v="Saturday"/>
        <s v="Sunday"/>
        <s v="Thursday"/>
        <s v="Tuesday"/>
        <s v="Wednesday"/>
      </sharedItems>
    </cacheField>
    <cacheField name="[Measures].[Sum of Amount]" caption="Sum of Amount" numFmtId="0" hierarchy="15" level="32767"/>
  </cacheFields>
  <cacheHierarchies count="20">
    <cacheHierarchy uniqueName="[Coffee_sales_clean].[Invoice]" caption="Invoice" attribute="1" defaultMemberUniqueName="[Coffee_sales_clean].[Invoice].[All]" allUniqueName="[Coffee_sales_clean].[Invoice].[All]" dimensionUniqueName="[Coffee_sales_clean]" displayFolder="" count="0" memberValueDatatype="130" unbalanced="0"/>
    <cacheHierarchy uniqueName="[Coffee_sales_clean].[Transaction Day]" caption="Transaction Day" attribute="1" defaultMemberUniqueName="[Coffee_sales_clean].[Transaction Day].[All]" allUniqueName="[Coffee_sales_clean].[Transaction Day].[All]" dimensionUniqueName="[Coffee_sales_clean]" displayFolder="" count="2" memberValueDatatype="130" unbalanced="0">
      <fieldsUsage count="2">
        <fieldUsage x="-1"/>
        <fieldUsage x="1"/>
      </fieldsUsage>
    </cacheHierarchy>
    <cacheHierarchy uniqueName="[Coffee_sales_clean].[Transaction Date]" caption="Transaction Date" attribute="1" time="1" defaultMemberUniqueName="[Coffee_sales_clean].[Transaction Date].[All]" allUniqueName="[Coffee_sales_clean].[Transaction Date].[All]" dimensionUniqueName="[Coffee_sales_clean]" displayFolder="" count="0" memberValueDatatype="7" unbalanced="0"/>
    <cacheHierarchy uniqueName="[Coffee_sales_clean].[Transaction Time]" caption="Transaction Time" attribute="1" time="1" defaultMemberUniqueName="[Coffee_sales_clean].[Transaction Time].[All]" allUniqueName="[Coffee_sales_clean].[Transaction Time].[All]" dimensionUniqueName="[Coffee_sales_clean]" displayFolder="" count="0" memberValueDatatype="7" unbalanced="0"/>
    <cacheHierarchy uniqueName="[Coffee_sales_clean].[Period]" caption="Period" attribute="1" defaultMemberUniqueName="[Coffee_sales_clean].[Period].[All]" allUniqueName="[Coffee_sales_clean].[Period].[All]" dimensionUniqueName="[Coffee_sales_clean]" displayFolder="" count="2" memberValueDatatype="130" unbalanced="0">
      <fieldsUsage count="2">
        <fieldUsage x="-1"/>
        <fieldUsage x="0"/>
      </fieldsUsage>
    </cacheHierarchy>
    <cacheHierarchy uniqueName="[Coffee_sales_clean].[Coffee Name]" caption="Coffee Name" attribute="1" defaultMemberUniqueName="[Coffee_sales_clean].[Coffee Name].[All]" allUniqueName="[Coffee_sales_clean].[Coffee Name].[All]" dimensionUniqueName="[Coffee_sales_clean]" displayFolder="" count="2" memberValueDatatype="130" unbalanced="0"/>
    <cacheHierarchy uniqueName="[Coffee_sales_clean].[Amount]" caption="Amount" attribute="1" defaultMemberUniqueName="[Coffee_sales_clean].[Amount].[All]" allUniqueName="[Coffee_sales_clean].[Amount].[All]" dimensionUniqueName="[Coffee_sales_clean]" displayFolder="" count="0" memberValueDatatype="5" unbalanced="0"/>
    <cacheHierarchy uniqueName="[Coffee_sales_clean].[Transaction Date (Year)]" caption="Transaction Date (Year)" attribute="1" defaultMemberUniqueName="[Coffee_sales_clean].[Transaction Date (Year)].[All]" allUniqueName="[Coffee_sales_clean].[Transaction Date (Year)].[All]" dimensionUniqueName="[Coffee_sales_clean]" displayFolder="" count="2" memberValueDatatype="130" unbalanced="0"/>
    <cacheHierarchy uniqueName="[Coffee_sales_clean].[Transaction Date (Quarter)]" caption="Transaction Date (Quarter)" attribute="1" defaultMemberUniqueName="[Coffee_sales_clean].[Transaction Date (Quarter)].[All]" allUniqueName="[Coffee_sales_clean].[Transaction Date (Quarter)].[All]" dimensionUniqueName="[Coffee_sales_clean]" displayFolder="" count="0" memberValueDatatype="130" unbalanced="0"/>
    <cacheHierarchy uniqueName="[Coffee_sales_clean].[Transaction Date (Month)]" caption="Transaction Date (Month)" attribute="1" defaultMemberUniqueName="[Coffee_sales_clean].[Transaction Date (Month)].[All]" allUniqueName="[Coffee_sales_clean].[Transaction Date (Month)].[All]" dimensionUniqueName="[Coffee_sales_clean]" displayFolder="" count="2" memberValueDatatype="130" unbalanced="0"/>
    <cacheHierarchy uniqueName="[Coffee_sales_clean].[Transaction Date (Day)]" caption="Transaction Date (Day)" attribute="1" defaultMemberUniqueName="[Coffee_sales_clean].[Transaction Date (Day)].[All]" allUniqueName="[Coffee_sales_clean].[Transaction Date (Day)].[All]" dimensionUniqueName="[Coffee_sales_clean]" displayFolder="" count="0" memberValueDatatype="130" unbalanced="0"/>
    <cacheHierarchy uniqueName="[Coffee_sales_clean].[Transaction Date (Day Index)]" caption="Transaction Date (Day Index)" attribute="1" defaultMemberUniqueName="[Coffee_sales_clean].[Transaction Date (Day Index)].[All]" allUniqueName="[Coffee_sales_clean].[Transaction Date (Day Index)].[All]" dimensionUniqueName="[Coffee_sales_clean]" displayFolder="" count="0" memberValueDatatype="5" unbalanced="0" hidden="1"/>
    <cacheHierarchy uniqueName="[Coffee_sales_clean].[Transaction Date (Month Index)]" caption="Transaction Date (Month Index)" attribute="1" defaultMemberUniqueName="[Coffee_sales_clean].[Transaction Date (Month Index)].[All]" allUniqueName="[Coffee_sales_clean].[Transaction Date (Month Index)].[All]" dimensionUniqueName="[Coffee_sales_clean]" displayFolder="" count="0" memberValueDatatype="20" unbalanced="0" hidden="1"/>
    <cacheHierarchy uniqueName="[Measures].[__XL_Count Coffee_sales_clean]" caption="__XL_Count Coffee_sales_clean" measure="1" displayFolder="" measureGroup="Coffee_sales_clean" count="0" hidden="1"/>
    <cacheHierarchy uniqueName="[Measures].[__No measures defined]" caption="__No measures defined" measure="1" displayFolder="" count="0" hidden="1"/>
    <cacheHierarchy uniqueName="[Measures].[Sum of Amount]" caption="Sum of Amount" measure="1" displayFolder="" measureGroup="Coffee_sales_clean"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Coffee_sales_clean" count="0" hidden="1">
      <extLst>
        <ext xmlns:x15="http://schemas.microsoft.com/office/spreadsheetml/2010/11/main" uri="{B97F6D7D-B522-45F9-BDA1-12C45D357490}">
          <x15:cacheHierarchy aggregatedColumn="6"/>
        </ext>
      </extLst>
    </cacheHierarchy>
    <cacheHierarchy uniqueName="[Measures].[Count of Coffee Name]" caption="Count of Coffee Name" measure="1" displayFolder="" measureGroup="Coffee_sales_clean" count="0" hidden="1">
      <extLst>
        <ext xmlns:x15="http://schemas.microsoft.com/office/spreadsheetml/2010/11/main" uri="{B97F6D7D-B522-45F9-BDA1-12C45D357490}">
          <x15:cacheHierarchy aggregatedColumn="5"/>
        </ext>
      </extLst>
    </cacheHierarchy>
    <cacheHierarchy uniqueName="[Measures].[Count of Period]" caption="Count of Period" measure="1" displayFolder="" measureGroup="Coffee_sales_clean"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Coffee_sales_clean" count="0" hidden="1">
      <extLst>
        <ext xmlns:x15="http://schemas.microsoft.com/office/spreadsheetml/2010/11/main" uri="{B97F6D7D-B522-45F9-BDA1-12C45D357490}">
          <x15:cacheHierarchy aggregatedColumn="6"/>
        </ext>
      </extLst>
    </cacheHierarchy>
  </cacheHierarchies>
  <kpis count="0"/>
  <dimensions count="2">
    <dimension name="Coffee_sales_clean" uniqueName="[Coffee_sales_clean]" caption="Coffee_sales_clean"/>
    <dimension measure="1" name="Measures" uniqueName="[Measures]" caption="Measures"/>
  </dimensions>
  <measureGroups count="1">
    <measureGroup name="Coffee_sales_clean" caption="Coffee_sal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133.877145370374" backgroundQuery="1" createdVersion="8" refreshedVersion="8" minRefreshableVersion="3" recordCount="0" supportSubquery="1" supportAdvancedDrill="1" xr:uid="{900B886E-4B0B-41F3-B070-7AAC81740921}">
  <cacheSource type="external" connectionId="1"/>
  <cacheFields count="3">
    <cacheField name="[Measures].[Sum of Amount]" caption="Sum of Amount" numFmtId="0" hierarchy="15" level="32767"/>
    <cacheField name="[Coffee_sales_clean].[Transaction Date (Month)].[Transaction Date (Month)]" caption="Transaction Date (Month)" numFmtId="0" hierarchy="9" level="1">
      <sharedItems count="12">
        <s v="Jan"/>
        <s v="Feb"/>
        <s v="Mar"/>
        <s v="Apr"/>
        <s v="May"/>
        <s v="Jun"/>
        <s v="Jul"/>
        <s v="Aug"/>
        <s v="Sep"/>
        <s v="Oct"/>
        <s v="Nov"/>
        <s v="Dec"/>
      </sharedItems>
    </cacheField>
    <cacheField name="[Measures].[Count of Amount]" caption="Count of Amount" numFmtId="0" hierarchy="16" level="32767"/>
  </cacheFields>
  <cacheHierarchies count="20">
    <cacheHierarchy uniqueName="[Coffee_sales_clean].[Invoice]" caption="Invoice" attribute="1" defaultMemberUniqueName="[Coffee_sales_clean].[Invoice].[All]" allUniqueName="[Coffee_sales_clean].[Invoice].[All]" dimensionUniqueName="[Coffee_sales_clean]" displayFolder="" count="0" memberValueDatatype="130" unbalanced="0"/>
    <cacheHierarchy uniqueName="[Coffee_sales_clean].[Transaction Day]" caption="Transaction Day" attribute="1" defaultMemberUniqueName="[Coffee_sales_clean].[Transaction Day].[All]" allUniqueName="[Coffee_sales_clean].[Transaction Day].[All]" dimensionUniqueName="[Coffee_sales_clean]" displayFolder="" count="0" memberValueDatatype="130" unbalanced="0"/>
    <cacheHierarchy uniqueName="[Coffee_sales_clean].[Transaction Date]" caption="Transaction Date" attribute="1" time="1" defaultMemberUniqueName="[Coffee_sales_clean].[Transaction Date].[All]" allUniqueName="[Coffee_sales_clean].[Transaction Date].[All]" dimensionUniqueName="[Coffee_sales_clean]" displayFolder="" count="0" memberValueDatatype="7" unbalanced="0"/>
    <cacheHierarchy uniqueName="[Coffee_sales_clean].[Transaction Time]" caption="Transaction Time" attribute="1" time="1" defaultMemberUniqueName="[Coffee_sales_clean].[Transaction Time].[All]" allUniqueName="[Coffee_sales_clean].[Transaction Time].[All]" dimensionUniqueName="[Coffee_sales_clean]" displayFolder="" count="0" memberValueDatatype="7" unbalanced="0"/>
    <cacheHierarchy uniqueName="[Coffee_sales_clean].[Period]" caption="Period" attribute="1" defaultMemberUniqueName="[Coffee_sales_clean].[Period].[All]" allUniqueName="[Coffee_sales_clean].[Period].[All]" dimensionUniqueName="[Coffee_sales_clean]" displayFolder="" count="2" memberValueDatatype="130" unbalanced="0"/>
    <cacheHierarchy uniqueName="[Coffee_sales_clean].[Coffee Name]" caption="Coffee Name" attribute="1" defaultMemberUniqueName="[Coffee_sales_clean].[Coffee Name].[All]" allUniqueName="[Coffee_sales_clean].[Coffee Name].[All]" dimensionUniqueName="[Coffee_sales_clean]" displayFolder="" count="2" memberValueDatatype="130" unbalanced="0"/>
    <cacheHierarchy uniqueName="[Coffee_sales_clean].[Amount]" caption="Amount" attribute="1" defaultMemberUniqueName="[Coffee_sales_clean].[Amount].[All]" allUniqueName="[Coffee_sales_clean].[Amount].[All]" dimensionUniqueName="[Coffee_sales_clean]" displayFolder="" count="0" memberValueDatatype="5" unbalanced="0"/>
    <cacheHierarchy uniqueName="[Coffee_sales_clean].[Transaction Date (Year)]" caption="Transaction Date (Year)" attribute="1" defaultMemberUniqueName="[Coffee_sales_clean].[Transaction Date (Year)].[All]" allUniqueName="[Coffee_sales_clean].[Transaction Date (Year)].[All]" dimensionUniqueName="[Coffee_sales_clean]" displayFolder="" count="2" memberValueDatatype="130" unbalanced="0"/>
    <cacheHierarchy uniqueName="[Coffee_sales_clean].[Transaction Date (Quarter)]" caption="Transaction Date (Quarter)" attribute="1" defaultMemberUniqueName="[Coffee_sales_clean].[Transaction Date (Quarter)].[All]" allUniqueName="[Coffee_sales_clean].[Transaction Date (Quarter)].[All]" dimensionUniqueName="[Coffee_sales_clean]" displayFolder="" count="0" memberValueDatatype="130" unbalanced="0"/>
    <cacheHierarchy uniqueName="[Coffee_sales_clean].[Transaction Date (Month)]" caption="Transaction Date (Month)" attribute="1" defaultMemberUniqueName="[Coffee_sales_clean].[Transaction Date (Month)].[All]" allUniqueName="[Coffee_sales_clean].[Transaction Date (Month)].[All]" dimensionUniqueName="[Coffee_sales_clean]" displayFolder="" count="2" memberValueDatatype="130" unbalanced="0">
      <fieldsUsage count="2">
        <fieldUsage x="-1"/>
        <fieldUsage x="1"/>
      </fieldsUsage>
    </cacheHierarchy>
    <cacheHierarchy uniqueName="[Coffee_sales_clean].[Transaction Date (Day)]" caption="Transaction Date (Day)" attribute="1" defaultMemberUniqueName="[Coffee_sales_clean].[Transaction Date (Day)].[All]" allUniqueName="[Coffee_sales_clean].[Transaction Date (Day)].[All]" dimensionUniqueName="[Coffee_sales_clean]" displayFolder="" count="0" memberValueDatatype="130" unbalanced="0"/>
    <cacheHierarchy uniqueName="[Coffee_sales_clean].[Transaction Date (Day Index)]" caption="Transaction Date (Day Index)" attribute="1" defaultMemberUniqueName="[Coffee_sales_clean].[Transaction Date (Day Index)].[All]" allUniqueName="[Coffee_sales_clean].[Transaction Date (Day Index)].[All]" dimensionUniqueName="[Coffee_sales_clean]" displayFolder="" count="0" memberValueDatatype="5" unbalanced="0" hidden="1"/>
    <cacheHierarchy uniqueName="[Coffee_sales_clean].[Transaction Date (Month Index)]" caption="Transaction Date (Month Index)" attribute="1" defaultMemberUniqueName="[Coffee_sales_clean].[Transaction Date (Month Index)].[All]" allUniqueName="[Coffee_sales_clean].[Transaction Date (Month Index)].[All]" dimensionUniqueName="[Coffee_sales_clean]" displayFolder="" count="0" memberValueDatatype="20" unbalanced="0" hidden="1"/>
    <cacheHierarchy uniqueName="[Measures].[__XL_Count Coffee_sales_clean]" caption="__XL_Count Coffee_sales_clean" measure="1" displayFolder="" measureGroup="Coffee_sales_clean" count="0" hidden="1"/>
    <cacheHierarchy uniqueName="[Measures].[__No measures defined]" caption="__No measures defined" measure="1" displayFolder="" count="0" hidden="1"/>
    <cacheHierarchy uniqueName="[Measures].[Sum of Amount]" caption="Sum of Amount" measure="1" displayFolder="" measureGroup="Coffee_sales_clean"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Amount]" caption="Count of Amount" measure="1" displayFolder="" measureGroup="Coffee_sales_clean"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Coffee Name]" caption="Count of Coffee Name" measure="1" displayFolder="" measureGroup="Coffee_sales_clean" count="0" hidden="1">
      <extLst>
        <ext xmlns:x15="http://schemas.microsoft.com/office/spreadsheetml/2010/11/main" uri="{B97F6D7D-B522-45F9-BDA1-12C45D357490}">
          <x15:cacheHierarchy aggregatedColumn="5"/>
        </ext>
      </extLst>
    </cacheHierarchy>
    <cacheHierarchy uniqueName="[Measures].[Count of Period]" caption="Count of Period" measure="1" displayFolder="" measureGroup="Coffee_sales_clean" count="0" hidden="1">
      <extLst>
        <ext xmlns:x15="http://schemas.microsoft.com/office/spreadsheetml/2010/11/main" uri="{B97F6D7D-B522-45F9-BDA1-12C45D357490}">
          <x15:cacheHierarchy aggregatedColumn="4"/>
        </ext>
      </extLst>
    </cacheHierarchy>
    <cacheHierarchy uniqueName="[Measures].[Average of Amount]" caption="Average of Amount" measure="1" displayFolder="" measureGroup="Coffee_sales_clean" count="0" hidden="1">
      <extLst>
        <ext xmlns:x15="http://schemas.microsoft.com/office/spreadsheetml/2010/11/main" uri="{B97F6D7D-B522-45F9-BDA1-12C45D357490}">
          <x15:cacheHierarchy aggregatedColumn="6"/>
        </ext>
      </extLst>
    </cacheHierarchy>
  </cacheHierarchies>
  <kpis count="0"/>
  <dimensions count="2">
    <dimension name="Coffee_sales_clean" uniqueName="[Coffee_sales_clean]" caption="Coffee_sales_clean"/>
    <dimension measure="1" name="Measures" uniqueName="[Measures]" caption="Measures"/>
  </dimensions>
  <measureGroups count="1">
    <measureGroup name="Coffee_sales_clean" caption="Coffee_sale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133.832194675924" backgroundQuery="1" createdVersion="3" refreshedVersion="8" minRefreshableVersion="3" recordCount="0" supportSubquery="1" supportAdvancedDrill="1" xr:uid="{64855E7D-292C-4875-870D-0F75F0BCF8BE}">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Coffee_sales_clean].[Invoice]" caption="Invoice" attribute="1" defaultMemberUniqueName="[Coffee_sales_clean].[Invoice].[All]" allUniqueName="[Coffee_sales_clean].[Invoice].[All]" dimensionUniqueName="[Coffee_sales_clean]" displayFolder="" count="0" memberValueDatatype="130" unbalanced="0"/>
    <cacheHierarchy uniqueName="[Coffee_sales_clean].[Transaction Day]" caption="Transaction Day" attribute="1" defaultMemberUniqueName="[Coffee_sales_clean].[Transaction Day].[All]" allUniqueName="[Coffee_sales_clean].[Transaction Day].[All]" dimensionUniqueName="[Coffee_sales_clean]" displayFolder="" count="0" memberValueDatatype="130" unbalanced="0"/>
    <cacheHierarchy uniqueName="[Coffee_sales_clean].[Transaction Date]" caption="Transaction Date" attribute="1" time="1" defaultMemberUniqueName="[Coffee_sales_clean].[Transaction Date].[All]" allUniqueName="[Coffee_sales_clean].[Transaction Date].[All]" dimensionUniqueName="[Coffee_sales_clean]" displayFolder="" count="0" memberValueDatatype="7" unbalanced="0"/>
    <cacheHierarchy uniqueName="[Coffee_sales_clean].[Transaction Time]" caption="Transaction Time" attribute="1" time="1" defaultMemberUniqueName="[Coffee_sales_clean].[Transaction Time].[All]" allUniqueName="[Coffee_sales_clean].[Transaction Time].[All]" dimensionUniqueName="[Coffee_sales_clean]" displayFolder="" count="0" memberValueDatatype="7" unbalanced="0"/>
    <cacheHierarchy uniqueName="[Coffee_sales_clean].[Period]" caption="Period" attribute="1" defaultMemberUniqueName="[Coffee_sales_clean].[Period].[All]" allUniqueName="[Coffee_sales_clean].[Period].[All]" dimensionUniqueName="[Coffee_sales_clean]" displayFolder="" count="2" memberValueDatatype="130" unbalanced="0"/>
    <cacheHierarchy uniqueName="[Coffee_sales_clean].[Coffee Name]" caption="Coffee Name" attribute="1" defaultMemberUniqueName="[Coffee_sales_clean].[Coffee Name].[All]" allUniqueName="[Coffee_sales_clean].[Coffee Name].[All]" dimensionUniqueName="[Coffee_sales_clean]" displayFolder="" count="2" memberValueDatatype="130" unbalanced="0"/>
    <cacheHierarchy uniqueName="[Coffee_sales_clean].[Amount]" caption="Amount" attribute="1" defaultMemberUniqueName="[Coffee_sales_clean].[Amount].[All]" allUniqueName="[Coffee_sales_clean].[Amount].[All]" dimensionUniqueName="[Coffee_sales_clean]" displayFolder="" count="0" memberValueDatatype="5" unbalanced="0"/>
    <cacheHierarchy uniqueName="[Coffee_sales_clean].[Transaction Date (Year)]" caption="Transaction Date (Year)" attribute="1" defaultMemberUniqueName="[Coffee_sales_clean].[Transaction Date (Year)].[All]" allUniqueName="[Coffee_sales_clean].[Transaction Date (Year)].[All]" dimensionUniqueName="[Coffee_sales_clean]" displayFolder="" count="2" memberValueDatatype="130" unbalanced="0"/>
    <cacheHierarchy uniqueName="[Coffee_sales_clean].[Transaction Date (Quarter)]" caption="Transaction Date (Quarter)" attribute="1" defaultMemberUniqueName="[Coffee_sales_clean].[Transaction Date (Quarter)].[All]" allUniqueName="[Coffee_sales_clean].[Transaction Date (Quarter)].[All]" dimensionUniqueName="[Coffee_sales_clean]" displayFolder="" count="0" memberValueDatatype="130" unbalanced="0"/>
    <cacheHierarchy uniqueName="[Coffee_sales_clean].[Transaction Date (Month)]" caption="Transaction Date (Month)" attribute="1" defaultMemberUniqueName="[Coffee_sales_clean].[Transaction Date (Month)].[All]" allUniqueName="[Coffee_sales_clean].[Transaction Date (Month)].[All]" dimensionUniqueName="[Coffee_sales_clean]" displayFolder="" count="2" memberValueDatatype="130" unbalanced="0"/>
    <cacheHierarchy uniqueName="[Coffee_sales_clean].[Transaction Date (Day)]" caption="Transaction Date (Day)" attribute="1" defaultMemberUniqueName="[Coffee_sales_clean].[Transaction Date (Day)].[All]" allUniqueName="[Coffee_sales_clean].[Transaction Date (Day)].[All]" dimensionUniqueName="[Coffee_sales_clean]" displayFolder="" count="0" memberValueDatatype="130" unbalanced="0"/>
    <cacheHierarchy uniqueName="[Coffee_sales_clean].[Transaction Date (Day Index)]" caption="Transaction Date (Day Index)" attribute="1" defaultMemberUniqueName="[Coffee_sales_clean].[Transaction Date (Day Index)].[All]" allUniqueName="[Coffee_sales_clean].[Transaction Date (Day Index)].[All]" dimensionUniqueName="[Coffee_sales_clean]" displayFolder="" count="0" memberValueDatatype="5" unbalanced="0" hidden="1"/>
    <cacheHierarchy uniqueName="[Coffee_sales_clean].[Transaction Date (Month Index)]" caption="Transaction Date (Month Index)" attribute="1" defaultMemberUniqueName="[Coffee_sales_clean].[Transaction Date (Month Index)].[All]" allUniqueName="[Coffee_sales_clean].[Transaction Date (Month Index)].[All]" dimensionUniqueName="[Coffee_sales_clean]" displayFolder="" count="0" memberValueDatatype="20" unbalanced="0" hidden="1"/>
    <cacheHierarchy uniqueName="[Measures].[__XL_Count Coffee_sales_clean]" caption="__XL_Count Coffee_sales_clean" measure="1" displayFolder="" measureGroup="Coffee_sales_clean" count="0" hidden="1"/>
    <cacheHierarchy uniqueName="[Measures].[__No measures defined]" caption="__No measures defined" measure="1" displayFolder="" count="0" hidden="1"/>
    <cacheHierarchy uniqueName="[Measures].[Sum of Amount]" caption="Sum of Amount" measure="1" displayFolder="" measureGroup="Coffee_sales_clean" count="0" hidden="1">
      <extLst>
        <ext xmlns:x15="http://schemas.microsoft.com/office/spreadsheetml/2010/11/main" uri="{B97F6D7D-B522-45F9-BDA1-12C45D357490}">
          <x15:cacheHierarchy aggregatedColumn="6"/>
        </ext>
      </extLst>
    </cacheHierarchy>
    <cacheHierarchy uniqueName="[Measures].[Count of Amount]" caption="Count of Amount" measure="1" displayFolder="" measureGroup="Coffee_sales_clean" count="0" hidden="1">
      <extLst>
        <ext xmlns:x15="http://schemas.microsoft.com/office/spreadsheetml/2010/11/main" uri="{B97F6D7D-B522-45F9-BDA1-12C45D357490}">
          <x15:cacheHierarchy aggregatedColumn="6"/>
        </ext>
      </extLst>
    </cacheHierarchy>
    <cacheHierarchy uniqueName="[Measures].[Count of Coffee Name]" caption="Count of Coffee Name" measure="1" displayFolder="" measureGroup="Coffee_sales_clean" count="0" hidden="1">
      <extLst>
        <ext xmlns:x15="http://schemas.microsoft.com/office/spreadsheetml/2010/11/main" uri="{B97F6D7D-B522-45F9-BDA1-12C45D357490}">
          <x15:cacheHierarchy aggregatedColumn="5"/>
        </ext>
      </extLst>
    </cacheHierarchy>
    <cacheHierarchy uniqueName="[Measures].[Count of Period]" caption="Count of Period" measure="1" displayFolder="" measureGroup="Coffee_sales_clean"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6192054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B6F795-466B-4AB1-8AF1-1C1770D79C16}" name="PivotTable2" cacheId="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E12:F18" firstHeaderRow="1" firstDataRow="1" firstDataCol="1"/>
  <pivotFields count="2">
    <pivotField axis="axisRow" allDrilled="1" subtotalTop="0" showAll="0" defaultSubtotal="0" defaultAttributeDrillState="1">
      <items count="5">
        <item x="2"/>
        <item x="1"/>
        <item x="0"/>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Amount" fld="1" baseField="0" baseItem="0" numFmtId="164"/>
  </dataFields>
  <formats count="1">
    <format dxfId="96">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s>
  <pivotHierarchies count="20">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pivotHierarchy dragToData="1"/>
    <pivotHierarchy dragToData="1"/>
    <pivotHierarchy dragToData="1" caption="Average of Amount"/>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sal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45942C-E402-4327-8974-F53693BF6788}" name="PivotTable1" cacheId="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Day">
  <location ref="I13:O22" firstHeaderRow="1" firstDataRow="2" firstDataCol="1"/>
  <pivotFields count="3">
    <pivotField axis="axisCol" allDrilled="1" subtotalTop="0" showAll="0" defaultSubtotal="0" defaultAttributeDrillState="1">
      <items count="5">
        <item x="4"/>
        <item x="3"/>
        <item x="0"/>
        <item x="1"/>
        <item x="2"/>
      </items>
    </pivotField>
    <pivotField axis="axisRow" allDrilled="1" subtotalTop="0" showAll="0" defaultSubtotal="0" defaultAttributeDrillState="1">
      <items count="7">
        <item x="1"/>
        <item x="5"/>
        <item x="6"/>
        <item x="4"/>
        <item x="0"/>
        <item x="2"/>
        <item x="3"/>
      </items>
    </pivotField>
    <pivotField dataField="1" subtotalTop="0" showAll="0" defaultSubtotal="0"/>
  </pivotFields>
  <rowFields count="1">
    <field x="1"/>
  </rowFields>
  <rowItems count="8">
    <i>
      <x/>
    </i>
    <i>
      <x v="1"/>
    </i>
    <i>
      <x v="2"/>
    </i>
    <i>
      <x v="3"/>
    </i>
    <i>
      <x v="4"/>
    </i>
    <i>
      <x v="5"/>
    </i>
    <i>
      <x v="6"/>
    </i>
    <i t="grand">
      <x/>
    </i>
  </rowItems>
  <colFields count="1">
    <field x="0"/>
  </colFields>
  <colItems count="6">
    <i>
      <x/>
    </i>
    <i>
      <x v="1"/>
    </i>
    <i>
      <x v="2"/>
    </i>
    <i>
      <x v="3"/>
    </i>
    <i>
      <x v="4"/>
    </i>
    <i t="grand">
      <x/>
    </i>
  </colItems>
  <dataFields count="1">
    <dataField name="Sum of Amount" fld="2" baseField="1" baseItem="1"/>
  </dataFields>
  <formats count="19">
    <format dxfId="107">
      <pivotArea outline="0" collapsedLevelsAreSubtotals="1" fieldPosition="0"/>
    </format>
    <format dxfId="106">
      <pivotArea dataOnly="0" labelOnly="1" fieldPosition="0">
        <references count="1">
          <reference field="0" count="0"/>
        </references>
      </pivotArea>
    </format>
    <format dxfId="105">
      <pivotArea dataOnly="0" labelOnly="1" fieldPosition="0">
        <references count="1">
          <reference field="0" count="1">
            <x v="0"/>
          </reference>
        </references>
      </pivotArea>
    </format>
    <format dxfId="104">
      <pivotArea dataOnly="0" labelOnly="1" fieldPosition="0">
        <references count="1">
          <reference field="0" count="1">
            <x v="1"/>
          </reference>
        </references>
      </pivotArea>
    </format>
    <format dxfId="103">
      <pivotArea dataOnly="0" labelOnly="1" fieldPosition="0">
        <references count="1">
          <reference field="0" count="1">
            <x v="2"/>
          </reference>
        </references>
      </pivotArea>
    </format>
    <format dxfId="102">
      <pivotArea dataOnly="0" labelOnly="1" fieldPosition="0">
        <references count="1">
          <reference field="0" count="1">
            <x v="2"/>
          </reference>
        </references>
      </pivotArea>
    </format>
    <format dxfId="101">
      <pivotArea dataOnly="0" labelOnly="1" fieldPosition="0">
        <references count="1">
          <reference field="0" count="1">
            <x v="3"/>
          </reference>
        </references>
      </pivotArea>
    </format>
    <format dxfId="100">
      <pivotArea dataOnly="0" labelOnly="1" fieldPosition="0">
        <references count="1">
          <reference field="0" count="1">
            <x v="4"/>
          </reference>
        </references>
      </pivotArea>
    </format>
    <format dxfId="99">
      <pivotArea field="1" type="button" dataOnly="0" labelOnly="1" outline="0" axis="axisRow" fieldPosition="0"/>
    </format>
    <format dxfId="98">
      <pivotArea dataOnly="0" labelOnly="1" fieldPosition="0">
        <references count="1">
          <reference field="0" count="0"/>
        </references>
      </pivotArea>
    </format>
    <format dxfId="97">
      <pivotArea dataOnly="0" labelOnly="1" grandCol="1" outline="0" fieldPosition="0"/>
    </format>
    <format dxfId="11">
      <pivotArea collapsedLevelsAreSubtotals="1" fieldPosition="0">
        <references count="1">
          <reference field="1" count="0"/>
        </references>
      </pivotArea>
    </format>
    <format dxfId="10">
      <pivotArea collapsedLevelsAreSubtotals="1" fieldPosition="0">
        <references count="1">
          <reference field="1" count="0"/>
        </references>
      </pivotArea>
    </format>
    <format dxfId="9">
      <pivotArea collapsedLevelsAreSubtotals="1" fieldPosition="0">
        <references count="2">
          <reference field="0" count="0" selected="0"/>
          <reference field="1" count="0"/>
        </references>
      </pivotArea>
    </format>
    <format dxfId="8">
      <pivotArea dataOnly="0" labelOnly="1" fieldPosition="0">
        <references count="1">
          <reference field="1" count="0"/>
        </references>
      </pivotArea>
    </format>
    <format dxfId="7">
      <pivotArea collapsedLevelsAreSubtotals="1" fieldPosition="0">
        <references count="2">
          <reference field="0" count="0" selected="0"/>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fieldPosition="0">
        <references count="1">
          <reference field="0" count="0"/>
        </references>
      </pivotArea>
    </format>
  </formats>
  <conditionalFormats count="1">
    <conditionalFormat priority="1">
      <pivotAreas count="1">
        <pivotArea type="data" collapsedLevelsAreSubtotals="1" fieldPosition="0">
          <references count="3">
            <reference field="4294967294" count="1" selected="0">
              <x v="0"/>
            </reference>
            <reference field="0" count="5" selected="0">
              <x v="0"/>
              <x v="1"/>
              <x v="2"/>
              <x v="3"/>
              <x v="4"/>
            </reference>
            <reference field="1" count="7">
              <x v="0"/>
              <x v="1"/>
              <x v="2"/>
              <x v="3"/>
              <x v="4"/>
              <x v="5"/>
              <x v="6"/>
            </reference>
          </references>
        </pivotArea>
      </pivotAreas>
    </conditionalFormat>
  </conditionalFormat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Hierarchies count="20">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caption="Count of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sal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B5BCF0-7553-475C-B782-B7002D7DDB83}" name="PivotTable6" cacheId="97" applyNumberFormats="0" applyBorderFormats="0" applyFontFormats="0" applyPatternFormats="0" applyAlignmentFormats="0" applyWidthHeightFormats="1" dataCaption="Values" tag="5af3a436-832d-49c9-be9d-33465c2ff251" updatedVersion="8" minRefreshableVersion="3" useAutoFormatting="1" subtotalHiddenItems="1" itemPrintTitles="1" createdVersion="8" indent="0" outline="1" outlineData="1" multipleFieldFilters="0" chartFormat="33" rowHeaderCaption="Month">
  <location ref="A1:C14" firstHeaderRow="0" firstDataRow="1" firstDataCol="1"/>
  <pivotFields count="3">
    <pivotField dataField="1" subtotalTop="0" showAll="0" defaultSubtotal="0"/>
    <pivotField axis="axisRow" allDrilled="1" subtotalTop="0" showAll="0" defaultSubtotal="0" defaultAttributeDrillState="1">
      <items count="12">
        <item x="2"/>
        <item x="3"/>
        <item x="4"/>
        <item x="5"/>
        <item x="6"/>
        <item x="7"/>
        <item x="8"/>
        <item x="9"/>
        <item x="10"/>
        <item x="11"/>
        <item x="0"/>
        <item x="1"/>
      </items>
    </pivotField>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fld="0" baseField="1" baseItem="3" numFmtId="164"/>
    <dataField name="Total Orders" fld="2" subtotal="count" baseField="1" baseItem="1"/>
  </dataFields>
  <formats count="4">
    <format dxfId="111">
      <pivotArea outline="0" collapsedLevelsAreSubtotals="1" fieldPosition="0"/>
    </format>
    <format dxfId="110">
      <pivotArea dataOnly="0" labelOnly="1" outline="0" axis="axisValues" fieldPosition="0"/>
    </format>
    <format dxfId="109">
      <pivotArea collapsedLevelsAreSubtotals="1" fieldPosition="0">
        <references count="2">
          <reference field="4294967294" count="1" selected="0">
            <x v="1"/>
          </reference>
          <reference field="1" count="0"/>
        </references>
      </pivotArea>
    </format>
    <format dxfId="108">
      <pivotArea field="1" grandRow="1" outline="0" collapsedLevelsAreSubtotals="1" axis="axisRow" fieldPosition="0">
        <references count="1">
          <reference field="4294967294" count="1" selected="0">
            <x v="1"/>
          </reference>
        </references>
      </pivotArea>
    </format>
  </formats>
  <chartFormats count="16">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10"/>
          </reference>
        </references>
      </pivotArea>
    </chartFormat>
    <chartFormat chart="9" format="4">
      <pivotArea type="data" outline="0" fieldPosition="0">
        <references count="2">
          <reference field="4294967294" count="1" selected="0">
            <x v="0"/>
          </reference>
          <reference field="1" count="1" selected="0">
            <x v="11"/>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 chart="9" format="7">
      <pivotArea type="data" outline="0" fieldPosition="0">
        <references count="2">
          <reference field="4294967294" count="1" selected="0">
            <x v="0"/>
          </reference>
          <reference field="1" count="1" selected="0">
            <x v="2"/>
          </reference>
        </references>
      </pivotArea>
    </chartFormat>
    <chartFormat chart="9" format="8">
      <pivotArea type="data" outline="0" fieldPosition="0">
        <references count="2">
          <reference field="4294967294" count="1" selected="0">
            <x v="0"/>
          </reference>
          <reference field="1" count="1" selected="0">
            <x v="3"/>
          </reference>
        </references>
      </pivotArea>
    </chartFormat>
    <chartFormat chart="9" format="9">
      <pivotArea type="data" outline="0" fieldPosition="0">
        <references count="2">
          <reference field="4294967294" count="1" selected="0">
            <x v="0"/>
          </reference>
          <reference field="1" count="1" selected="0">
            <x v="4"/>
          </reference>
        </references>
      </pivotArea>
    </chartFormat>
    <chartFormat chart="9" format="10">
      <pivotArea type="data" outline="0" fieldPosition="0">
        <references count="2">
          <reference field="4294967294" count="1" selected="0">
            <x v="0"/>
          </reference>
          <reference field="1" count="1" selected="0">
            <x v="5"/>
          </reference>
        </references>
      </pivotArea>
    </chartFormat>
    <chartFormat chart="9" format="11">
      <pivotArea type="data" outline="0" fieldPosition="0">
        <references count="2">
          <reference field="4294967294" count="1" selected="0">
            <x v="0"/>
          </reference>
          <reference field="1" count="1" selected="0">
            <x v="6"/>
          </reference>
        </references>
      </pivotArea>
    </chartFormat>
    <chartFormat chart="9" format="12">
      <pivotArea type="data" outline="0" fieldPosition="0">
        <references count="2">
          <reference field="4294967294" count="1" selected="0">
            <x v="0"/>
          </reference>
          <reference field="1" count="1" selected="0">
            <x v="7"/>
          </reference>
        </references>
      </pivotArea>
    </chartFormat>
    <chartFormat chart="9" format="13">
      <pivotArea type="data" outline="0" fieldPosition="0">
        <references count="2">
          <reference field="4294967294" count="1" selected="0">
            <x v="0"/>
          </reference>
          <reference field="1" count="1" selected="0">
            <x v="8"/>
          </reference>
        </references>
      </pivotArea>
    </chartFormat>
    <chartFormat chart="9" format="14">
      <pivotArea type="data" outline="0" fieldPosition="0">
        <references count="2">
          <reference field="4294967294" count="1" selected="0">
            <x v="0"/>
          </reference>
          <reference field="1" count="1" selected="0">
            <x v="9"/>
          </reference>
        </references>
      </pivotArea>
    </chartFormat>
    <chartFormat chart="9" format="15" series="1">
      <pivotArea type="data" outline="0" fieldPosition="0">
        <references count="1">
          <reference field="4294967294" count="1" selected="0">
            <x v="1"/>
          </reference>
        </references>
      </pivotArea>
    </chartFormat>
  </chartFormats>
  <pivotHierarchies count="20">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_sales_clean.xlsx!Coffee_sales_clean">
        <x15:activeTabTopLevelEntity name="[Coffee_sal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CDB7B7-D3F1-4EEB-A5E7-4C546D121DBF}" name="PivotTable8" cacheId="91" applyNumberFormats="0" applyBorderFormats="0" applyFontFormats="0" applyPatternFormats="0" applyAlignmentFormats="0" applyWidthHeightFormats="1" dataCaption="Values" tag="a54a5270-b249-4127-b531-0e15638e4037" updatedVersion="8" minRefreshableVersion="3" useAutoFormatting="1" subtotalHiddenItems="1" itemPrintTitles="1" createdVersion="8" indent="0" outline="1" outlineData="1" multipleFieldFilters="0" chartFormat="27">
  <location ref="I1:O11" firstHeaderRow="1" firstDataRow="2"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Col" allDrilled="1" subtotalTop="0" showAll="0" defaultSubtotal="0" defaultAttributeDrillState="1">
      <items count="5">
        <item x="4"/>
        <item x="3"/>
        <item x="0"/>
        <item x="1"/>
        <item x="2"/>
      </items>
    </pivotField>
    <pivotField dataField="1" subtotalTop="0" showAll="0" defaultSubtotal="0"/>
  </pivotFields>
  <rowFields count="1">
    <field x="0"/>
  </rowFields>
  <rowItems count="9">
    <i>
      <x v="5"/>
    </i>
    <i>
      <x v="4"/>
    </i>
    <i>
      <x v="3"/>
    </i>
    <i>
      <x v="6"/>
    </i>
    <i>
      <x/>
    </i>
    <i>
      <x v="2"/>
    </i>
    <i>
      <x v="1"/>
    </i>
    <i>
      <x v="7"/>
    </i>
    <i t="grand">
      <x/>
    </i>
  </rowItems>
  <colFields count="1">
    <field x="1"/>
  </colFields>
  <colItems count="6">
    <i>
      <x/>
    </i>
    <i>
      <x v="1"/>
    </i>
    <i>
      <x v="2"/>
    </i>
    <i>
      <x v="3"/>
    </i>
    <i>
      <x v="4"/>
    </i>
    <i t="grand">
      <x/>
    </i>
  </colItems>
  <dataFields count="1">
    <dataField name="Sum of Amount" fld="2" baseField="0" baseItem="0" numFmtId="164"/>
  </dataFields>
  <formats count="1">
    <format dxfId="112">
      <pivotArea outline="0" collapsedLevelsAreSubtotals="1" fieldPosition="0"/>
    </format>
  </formats>
  <chartFormats count="18">
    <chartFormat chart="6" format="19" series="1">
      <pivotArea type="data" outline="0" fieldPosition="0">
        <references count="1">
          <reference field="0" count="1" selected="0">
            <x v="1"/>
          </reference>
        </references>
      </pivotArea>
    </chartFormat>
    <chartFormat chart="6" format="20" series="1">
      <pivotArea type="data" outline="0" fieldPosition="0">
        <references count="1">
          <reference field="0" count="1" selected="0">
            <x v="2"/>
          </reference>
        </references>
      </pivotArea>
    </chartFormat>
    <chartFormat chart="6" format="21" series="1">
      <pivotArea type="data" outline="0" fieldPosition="0">
        <references count="1">
          <reference field="0" count="1" selected="0">
            <x v="3"/>
          </reference>
        </references>
      </pivotArea>
    </chartFormat>
    <chartFormat chart="6" format="22" series="1">
      <pivotArea type="data" outline="0" fieldPosition="0">
        <references count="1">
          <reference field="0" count="1" selected="0">
            <x v="4"/>
          </reference>
        </references>
      </pivotArea>
    </chartFormat>
    <chartFormat chart="6" format="23" series="1">
      <pivotArea type="data" outline="0" fieldPosition="0">
        <references count="1">
          <reference field="0" count="1" selected="0">
            <x v="5"/>
          </reference>
        </references>
      </pivotArea>
    </chartFormat>
    <chartFormat chart="6" format="24" series="1">
      <pivotArea type="data" outline="0" fieldPosition="0">
        <references count="1">
          <reference field="0" count="1" selected="0">
            <x v="6"/>
          </reference>
        </references>
      </pivotArea>
    </chartFormat>
    <chartFormat chart="6" format="25" series="1">
      <pivotArea type="data" outline="0" fieldPosition="0">
        <references count="1">
          <reference field="0" count="1" selected="0">
            <x v="7"/>
          </reference>
        </references>
      </pivotArea>
    </chartFormat>
    <chartFormat chart="6" format="26" series="1">
      <pivotArea type="data" outline="0" fieldPosition="0">
        <references count="1">
          <reference field="0" count="1" selected="0">
            <x v="0"/>
          </reference>
        </references>
      </pivotArea>
    </chartFormat>
    <chartFormat chart="6" format="27" series="1">
      <pivotArea type="data" outline="0" fieldPosition="0">
        <references count="1">
          <reference field="1" count="1" selected="0">
            <x v="2"/>
          </reference>
        </references>
      </pivotArea>
    </chartFormat>
    <chartFormat chart="6" format="28" series="1">
      <pivotArea type="data" outline="0" fieldPosition="0">
        <references count="1">
          <reference field="1" count="1" selected="0">
            <x v="3"/>
          </reference>
        </references>
      </pivotArea>
    </chartFormat>
    <chartFormat chart="6" format="29" series="1">
      <pivotArea type="data" outline="0" fieldPosition="0">
        <references count="1">
          <reference field="1" count="1" selected="0">
            <x v="4"/>
          </reference>
        </references>
      </pivotArea>
    </chartFormat>
    <chartFormat chart="6" format="30" series="1">
      <pivotArea type="data" outline="0" fieldPosition="0">
        <references count="1">
          <reference field="1" count="1" selected="0">
            <x v="1"/>
          </reference>
        </references>
      </pivotArea>
    </chartFormat>
    <chartFormat chart="6" format="31" series="1">
      <pivotArea type="data" outline="0" fieldPosition="0">
        <references count="1">
          <reference field="1" count="1" selected="0">
            <x v="0"/>
          </reference>
        </references>
      </pivotArea>
    </chartFormat>
    <chartFormat chart="6" format="32" series="1">
      <pivotArea type="data" outline="0" fieldPosition="0">
        <references count="2">
          <reference field="4294967294" count="1" selected="0">
            <x v="0"/>
          </reference>
          <reference field="1" count="1" selected="0">
            <x v="2"/>
          </reference>
        </references>
      </pivotArea>
    </chartFormat>
    <chartFormat chart="6" format="33" series="1">
      <pivotArea type="data" outline="0" fieldPosition="0">
        <references count="2">
          <reference field="4294967294" count="1" selected="0">
            <x v="0"/>
          </reference>
          <reference field="1" count="1" selected="0">
            <x v="3"/>
          </reference>
        </references>
      </pivotArea>
    </chartFormat>
    <chartFormat chart="6" format="34" series="1">
      <pivotArea type="data" outline="0" fieldPosition="0">
        <references count="2">
          <reference field="4294967294" count="1" selected="0">
            <x v="0"/>
          </reference>
          <reference field="1" count="1" selected="0">
            <x v="4"/>
          </reference>
        </references>
      </pivotArea>
    </chartFormat>
    <chartFormat chart="6" format="35" series="1">
      <pivotArea type="data" outline="0" fieldPosition="0">
        <references count="2">
          <reference field="4294967294" count="1" selected="0">
            <x v="0"/>
          </reference>
          <reference field="1" count="1" selected="0">
            <x v="1"/>
          </reference>
        </references>
      </pivotArea>
    </chartFormat>
    <chartFormat chart="6" format="36" series="1">
      <pivotArea type="data" outline="0" fieldPosition="0">
        <references count="2">
          <reference field="4294967294" count="1" selected="0">
            <x v="0"/>
          </reference>
          <reference field="1" count="1" selected="0">
            <x v="0"/>
          </reference>
        </references>
      </pivotArea>
    </chartFormat>
  </chartFormats>
  <pivotHierarchies count="20">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sal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DAA8AF-89D0-4EF5-9F36-8EF9DFA5C49D}" name="PivotTable7" cacheId="88" applyNumberFormats="0" applyBorderFormats="0" applyFontFormats="0" applyPatternFormats="0" applyAlignmentFormats="0" applyWidthHeightFormats="1" dataCaption="Values" tag="e672ffdf-12df-499a-9c63-23156852c54b" updatedVersion="8" minRefreshableVersion="3" useAutoFormatting="1" subtotalHiddenItems="1" itemPrintTitles="1" createdVersion="8" indent="0" outline="1" outlineData="1" multipleFieldFilters="0" chartFormat="41" rowHeaderCaption="Coffee Name">
  <location ref="E1:G10" firstHeaderRow="0" firstDataRow="1" firstDataCol="1"/>
  <pivotFields count="4">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7"/>
    </i>
    <i>
      <x v="1"/>
    </i>
    <i>
      <x v="2"/>
    </i>
    <i>
      <x/>
    </i>
    <i>
      <x v="6"/>
    </i>
    <i>
      <x v="3"/>
    </i>
    <i>
      <x v="4"/>
    </i>
    <i>
      <x v="5"/>
    </i>
    <i t="grand">
      <x/>
    </i>
  </rowItems>
  <colFields count="1">
    <field x="-2"/>
  </colFields>
  <colItems count="2">
    <i>
      <x/>
    </i>
    <i i="1">
      <x v="1"/>
    </i>
  </colItems>
  <dataFields count="2">
    <dataField name="Sum of Amount" fld="1" baseField="0" baseItem="1" numFmtId="164"/>
    <dataField name="Count of Amount2" fld="2" subtotal="count" baseField="0" baseItem="1" numFmtId="1"/>
  </dataFields>
  <formats count="2">
    <format dxfId="114">
      <pivotArea outline="0" collapsedLevelsAreSubtotals="1" fieldPosition="0">
        <references count="1">
          <reference field="4294967294" count="1" selected="0">
            <x v="0"/>
          </reference>
        </references>
      </pivotArea>
    </format>
    <format dxfId="113">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Hierarchies count="20">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Sum of Amount"/>
    <pivotHierarchy dragToData="1" caption="Count of Amount2"/>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sales_clea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__Year" xr10:uid="{875DB08B-8FFD-4807-B8AA-4A688307EE4E}" sourceName="[Coffee_sales_clean].[Transaction Date (Year)]">
  <pivotTables>
    <pivotTable tabId="1" name="PivotTable6"/>
    <pivotTable tabId="1" name="PivotTable7"/>
    <pivotTable tabId="1" name="PivotTable8"/>
    <pivotTable tabId="1" name="PivotTable1"/>
    <pivotTable tabId="1" name="PivotTable2"/>
  </pivotTables>
  <data>
    <olap pivotCacheId="619205488">
      <levels count="2">
        <level uniqueName="[Coffee_sales_clean].[Transaction Date (Year)].[(All)]" sourceCaption="(All)" count="0"/>
        <level uniqueName="[Coffee_sales_clean].[Transaction Date (Year)].[Transaction Date (Year)]" sourceCaption="Transaction Date (Year)" count="2">
          <ranges>
            <range startItem="0">
              <i n="[Coffee_sales_clean].[Transaction Date (Year)].&amp;[2024]" c="2024"/>
              <i n="[Coffee_sales_clean].[Transaction Date (Year)].&amp;[2025]" c="2025"/>
            </range>
          </ranges>
        </level>
      </levels>
      <selections count="1">
        <selection n="[Coffee_sales_clean].[Transaction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__Month" xr10:uid="{0DCDE152-71B6-4DA1-A002-4A43AD2099A2}" sourceName="[Coffee_sales_clean].[Transaction Date (Month)]">
  <pivotTables>
    <pivotTable tabId="1" name="PivotTable6"/>
    <pivotTable tabId="1" name="PivotTable7"/>
    <pivotTable tabId="1" name="PivotTable8"/>
    <pivotTable tabId="1" name="PivotTable1"/>
    <pivotTable tabId="1" name="PivotTable2"/>
  </pivotTables>
  <data>
    <olap pivotCacheId="619205488">
      <levels count="2">
        <level uniqueName="[Coffee_sales_clean].[Transaction Date (Month)].[(All)]" sourceCaption="(All)" count="0"/>
        <level uniqueName="[Coffee_sales_clean].[Transaction Date (Month)].[Transaction Date (Month)]" sourceCaption="Transaction Date (Month)" count="12">
          <ranges>
            <range startItem="0">
              <i n="[Coffee_sales_clean].[Transaction Date (Month)].&amp;[Jan]" c="Jan"/>
              <i n="[Coffee_sales_clean].[Transaction Date (Month)].&amp;[Feb]" c="Feb"/>
              <i n="[Coffee_sales_clean].[Transaction Date (Month)].&amp;[Mar]" c="Mar"/>
              <i n="[Coffee_sales_clean].[Transaction Date (Month)].&amp;[Apr]" c="Apr"/>
              <i n="[Coffee_sales_clean].[Transaction Date (Month)].&amp;[May]" c="May"/>
              <i n="[Coffee_sales_clean].[Transaction Date (Month)].&amp;[Jun]" c="Jun"/>
              <i n="[Coffee_sales_clean].[Transaction Date (Month)].&amp;[Jul]" c="Jul"/>
              <i n="[Coffee_sales_clean].[Transaction Date (Month)].&amp;[Aug]" c="Aug"/>
              <i n="[Coffee_sales_clean].[Transaction Date (Month)].&amp;[Sep]" c="Sep"/>
              <i n="[Coffee_sales_clean].[Transaction Date (Month)].&amp;[Oct]" c="Oct"/>
              <i n="[Coffee_sales_clean].[Transaction Date (Month)].&amp;[Nov]" c="Nov"/>
              <i n="[Coffee_sales_clean].[Transaction Date (Month)].&amp;[Dec]" c="Dec"/>
            </range>
          </ranges>
        </level>
      </levels>
      <selections count="1">
        <selection n="[Coffee_sales_clean].[Transaction 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1403E859-E147-405C-94AD-2BD6092AF48D}" sourceName="[Coffee_sales_clean].[Coffee Name]">
  <pivotTables>
    <pivotTable tabId="1" name="PivotTable6"/>
    <pivotTable tabId="1" name="PivotTable7"/>
    <pivotTable tabId="1" name="PivotTable8"/>
    <pivotTable tabId="1" name="PivotTable1"/>
    <pivotTable tabId="1" name="PivotTable2"/>
  </pivotTables>
  <data>
    <olap pivotCacheId="619205488">
      <levels count="2">
        <level uniqueName="[Coffee_sales_clean].[Coffee Name].[(All)]" sourceCaption="(All)" count="0"/>
        <level uniqueName="[Coffee_sales_clean].[Coffee Name].[Coffee Name]" sourceCaption="Coffee Name" count="8">
          <ranges>
            <range startItem="0">
              <i n="[Coffee_sales_clean].[Coffee Name].&amp;[Americano]" c="Americano"/>
              <i n="[Coffee_sales_clean].[Coffee Name].&amp;[Americano with Milk]" c="Americano with Milk"/>
              <i n="[Coffee_sales_clean].[Coffee Name].&amp;[Cappuccino]" c="Cappuccino"/>
              <i n="[Coffee_sales_clean].[Coffee Name].&amp;[Cocoa]" c="Cocoa"/>
              <i n="[Coffee_sales_clean].[Coffee Name].&amp;[Cortado]" c="Cortado"/>
              <i n="[Coffee_sales_clean].[Coffee Name].&amp;[Espresso]" c="Espresso"/>
              <i n="[Coffee_sales_clean].[Coffee Name].&amp;[Hot Chocolate]" c="Hot Chocolate"/>
              <i n="[Coffee_sales_clean].[Coffee Name].&amp;[Latte]" c="Latte"/>
            </range>
          </ranges>
        </level>
      </levels>
      <selections count="1">
        <selection n="[Coffee_sales_clean].[Coffee 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65CD2A36-95DF-4C38-89C5-3777CE7E262F}" sourceName="[Coffee_sales_clean].[Period]">
  <pivotTables>
    <pivotTable tabId="1" name="PivotTable6"/>
    <pivotTable tabId="1" name="PivotTable7"/>
    <pivotTable tabId="1" name="PivotTable8"/>
    <pivotTable tabId="1" name="PivotTable1"/>
    <pivotTable tabId="1" name="PivotTable2"/>
  </pivotTables>
  <data>
    <olap pivotCacheId="619205488">
      <levels count="2">
        <level uniqueName="[Coffee_sales_clean].[Period].[(All)]" sourceCaption="(All)" count="0"/>
        <level uniqueName="[Coffee_sales_clean].[Period].[Period]" sourceCaption="Period" count="5" sortOrder="ascending">
          <ranges>
            <range startItem="0">
              <i n="[Coffee_sales_clean].[Period].&amp;[Afternoon Slump]" c="Afternoon Slump"/>
              <i n="[Coffee_sales_clean].[Period].&amp;[Evening]" c="Evening"/>
              <i n="[Coffee_sales_clean].[Period].&amp;[Late Night]" c="Late Night"/>
              <i n="[Coffee_sales_clean].[Period].&amp;[Lunch Break]" c="Lunch Break"/>
              <i n="[Coffee_sales_clean].[Period].&amp;[Morning Rush]" c="Morning Rush"/>
            </range>
          </ranges>
        </level>
      </levels>
      <selections count="1">
        <selection n="[Coffee_sales_clean].[Peri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Date (Year)" xr10:uid="{0E21AAD6-A66B-40C2-8E11-076BCFBE5C69}" cache="Slicer_Transaction_Date__Year" caption="Year" columnCount="2" level="1" rowHeight="241300"/>
  <slicer name="Transaction Date (Month)" xr10:uid="{BD3E2CB4-31CA-4ABF-AA6F-84E190BDFA83}" cache="Slicer_Transaction_Date__Month" caption="Month" columnCount="2" level="1" rowHeight="241300"/>
  <slicer name="Coffee Name" xr10:uid="{FED7C8F5-2B73-4DE0-A1DD-CB2FCF856005}" cache="Slicer_Coffee_Name" caption="Coffee Name" level="1" rowHeight="241300"/>
  <slicer name="Period" xr10:uid="{677901AC-3351-42D9-9D03-EAF21F893382}" cache="Slicer_Period" caption="Period"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67816-9E4B-4F48-8E77-C505C55F2E8F}">
  <dimension ref="A1:O22"/>
  <sheetViews>
    <sheetView zoomScale="96" zoomScaleNormal="96" workbookViewId="0">
      <selection activeCell="A2" sqref="A2:A3"/>
    </sheetView>
  </sheetViews>
  <sheetFormatPr defaultRowHeight="15" x14ac:dyDescent="0.25"/>
  <cols>
    <col min="1" max="1" width="11.42578125" bestFit="1" customWidth="1"/>
    <col min="2" max="2" width="11.5703125" bestFit="1" customWidth="1"/>
    <col min="3" max="3" width="11.85546875" bestFit="1" customWidth="1"/>
    <col min="4" max="4" width="2.7109375" customWidth="1"/>
    <col min="5" max="5" width="19.5703125" bestFit="1" customWidth="1"/>
    <col min="6" max="6" width="14.85546875" bestFit="1" customWidth="1"/>
    <col min="7" max="7" width="17.42578125" bestFit="1" customWidth="1"/>
    <col min="8" max="8" width="2.7109375" customWidth="1"/>
    <col min="9" max="9" width="14.85546875" bestFit="1" customWidth="1"/>
    <col min="10" max="10" width="16.28515625" bestFit="1" customWidth="1"/>
    <col min="11" max="11" width="11.85546875" bestFit="1" customWidth="1"/>
    <col min="12" max="12" width="16.28515625" bestFit="1" customWidth="1"/>
    <col min="13" max="14" width="10.5703125" bestFit="1" customWidth="1"/>
    <col min="15" max="15" width="11.5703125" bestFit="1" customWidth="1"/>
    <col min="16" max="16" width="13.7109375" bestFit="1" customWidth="1"/>
    <col min="17" max="17" width="5.5703125" bestFit="1" customWidth="1"/>
    <col min="18" max="18" width="11.42578125" bestFit="1" customWidth="1"/>
  </cols>
  <sheetData>
    <row r="1" spans="1:15" x14ac:dyDescent="0.25">
      <c r="A1" s="1" t="s">
        <v>33</v>
      </c>
      <c r="B1" t="s">
        <v>34</v>
      </c>
      <c r="C1" t="s">
        <v>17</v>
      </c>
      <c r="E1" s="1" t="s">
        <v>35</v>
      </c>
      <c r="F1" t="s">
        <v>0</v>
      </c>
      <c r="G1" t="s">
        <v>32</v>
      </c>
      <c r="I1" s="1" t="s">
        <v>0</v>
      </c>
      <c r="J1" s="1" t="s">
        <v>36</v>
      </c>
    </row>
    <row r="2" spans="1:15" x14ac:dyDescent="0.25">
      <c r="A2" s="2" t="s">
        <v>21</v>
      </c>
      <c r="B2" s="12">
        <v>5905.1999999999925</v>
      </c>
      <c r="C2" s="13">
        <v>175</v>
      </c>
      <c r="E2" s="2" t="s">
        <v>10</v>
      </c>
      <c r="F2" s="12">
        <v>24836.979999999592</v>
      </c>
      <c r="G2" s="13">
        <v>700</v>
      </c>
      <c r="I2" s="1" t="s">
        <v>1</v>
      </c>
      <c r="J2" t="s">
        <v>15</v>
      </c>
      <c r="K2" t="s">
        <v>14</v>
      </c>
      <c r="L2" t="s">
        <v>11</v>
      </c>
      <c r="M2" t="s">
        <v>12</v>
      </c>
      <c r="N2" t="s">
        <v>13</v>
      </c>
      <c r="O2" t="s">
        <v>2</v>
      </c>
    </row>
    <row r="3" spans="1:15" x14ac:dyDescent="0.25">
      <c r="A3" s="2" t="s">
        <v>22</v>
      </c>
      <c r="B3" s="12">
        <v>5719.5600000000022</v>
      </c>
      <c r="C3" s="13">
        <v>168</v>
      </c>
      <c r="E3" s="2" t="s">
        <v>4</v>
      </c>
      <c r="F3" s="12">
        <v>23146.400000000198</v>
      </c>
      <c r="G3" s="13">
        <v>757</v>
      </c>
      <c r="I3" s="2" t="s">
        <v>8</v>
      </c>
      <c r="J3" s="12">
        <v>490.24000000000007</v>
      </c>
      <c r="K3" s="12">
        <v>723.37999999999954</v>
      </c>
      <c r="L3" s="12">
        <v>701.83999999999958</v>
      </c>
      <c r="M3" s="12">
        <v>398.68</v>
      </c>
      <c r="N3" s="12">
        <v>165.54000000000002</v>
      </c>
      <c r="O3" s="12">
        <v>2479.6799999999944</v>
      </c>
    </row>
    <row r="4" spans="1:15" x14ac:dyDescent="0.25">
      <c r="A4" s="2" t="s">
        <v>23</v>
      </c>
      <c r="B4" s="12">
        <v>8164.4200000000119</v>
      </c>
      <c r="C4" s="13">
        <v>241</v>
      </c>
      <c r="E4" s="2" t="s">
        <v>5</v>
      </c>
      <c r="F4" s="12">
        <v>15901.460000000017</v>
      </c>
      <c r="G4" s="13">
        <v>443</v>
      </c>
      <c r="I4" s="2" t="s">
        <v>7</v>
      </c>
      <c r="J4" s="12">
        <v>2742.4200000000014</v>
      </c>
      <c r="K4" s="12">
        <v>2010.1799999999998</v>
      </c>
      <c r="L4" s="12">
        <v>1142.7400000000005</v>
      </c>
      <c r="M4" s="12">
        <v>829.26000000000045</v>
      </c>
      <c r="N4" s="12">
        <v>608.34</v>
      </c>
      <c r="O4" s="12">
        <v>7332.9400000000096</v>
      </c>
    </row>
    <row r="5" spans="1:15" x14ac:dyDescent="0.25">
      <c r="A5" s="2" t="s">
        <v>24</v>
      </c>
      <c r="B5" s="12">
        <v>7617.7600000000057</v>
      </c>
      <c r="C5" s="13">
        <v>223</v>
      </c>
      <c r="E5" s="2" t="s">
        <v>3</v>
      </c>
      <c r="F5" s="12">
        <v>12002.339999999913</v>
      </c>
      <c r="G5" s="13">
        <v>462</v>
      </c>
      <c r="I5" s="2" t="s">
        <v>6</v>
      </c>
      <c r="J5" s="12">
        <v>1345.1599999999999</v>
      </c>
      <c r="K5" s="12">
        <v>1293.2399999999998</v>
      </c>
      <c r="L5" s="12">
        <v>1427.4599999999998</v>
      </c>
      <c r="M5" s="12">
        <v>1729.2199999999998</v>
      </c>
      <c r="N5" s="12">
        <v>1653.2799999999997</v>
      </c>
      <c r="O5" s="12">
        <v>7448.3600000000315</v>
      </c>
    </row>
    <row r="6" spans="1:15" x14ac:dyDescent="0.25">
      <c r="A6" s="2" t="s">
        <v>25</v>
      </c>
      <c r="B6" s="12">
        <v>6915.940000000006</v>
      </c>
      <c r="C6" s="13">
        <v>237</v>
      </c>
      <c r="E6" s="2" t="s">
        <v>9</v>
      </c>
      <c r="F6" s="12">
        <v>9110.9800000000414</v>
      </c>
      <c r="G6" s="13">
        <v>253</v>
      </c>
      <c r="I6" s="2" t="s">
        <v>9</v>
      </c>
      <c r="J6" s="12">
        <v>918.9799999999999</v>
      </c>
      <c r="K6" s="12">
        <v>1059.58</v>
      </c>
      <c r="L6" s="12">
        <v>2056.94</v>
      </c>
      <c r="M6" s="12">
        <v>2764.8000000000047</v>
      </c>
      <c r="N6" s="12">
        <v>2310.6800000000017</v>
      </c>
      <c r="O6" s="12">
        <v>9110.9800000000414</v>
      </c>
    </row>
    <row r="7" spans="1:15" x14ac:dyDescent="0.25">
      <c r="A7" s="2" t="s">
        <v>16</v>
      </c>
      <c r="B7" s="12">
        <v>7613.8400000000147</v>
      </c>
      <c r="C7" s="13">
        <v>272</v>
      </c>
      <c r="E7" s="2" t="s">
        <v>6</v>
      </c>
      <c r="F7" s="12">
        <v>7448.3600000000315</v>
      </c>
      <c r="G7" s="13">
        <v>209</v>
      </c>
      <c r="I7" s="2" t="s">
        <v>3</v>
      </c>
      <c r="J7" s="12">
        <v>2938.8600000000015</v>
      </c>
      <c r="K7" s="12">
        <v>3696.1200000000013</v>
      </c>
      <c r="L7" s="12">
        <v>2831.6200000000013</v>
      </c>
      <c r="M7" s="12">
        <v>1673.2000000000012</v>
      </c>
      <c r="N7" s="12">
        <v>862.5400000000003</v>
      </c>
      <c r="O7" s="12">
        <v>12002.339999999913</v>
      </c>
    </row>
    <row r="8" spans="1:15" x14ac:dyDescent="0.25">
      <c r="A8" s="2" t="s">
        <v>26</v>
      </c>
      <c r="B8" s="12">
        <v>9988.6400000000067</v>
      </c>
      <c r="C8" s="13">
        <v>344</v>
      </c>
      <c r="E8" s="2" t="s">
        <v>7</v>
      </c>
      <c r="F8" s="12">
        <v>7332.9400000000096</v>
      </c>
      <c r="G8" s="13">
        <v>285</v>
      </c>
      <c r="I8" s="2" t="s">
        <v>5</v>
      </c>
      <c r="J8" s="12">
        <v>2854.4200000000051</v>
      </c>
      <c r="K8" s="12">
        <v>2923.0200000000045</v>
      </c>
      <c r="L8" s="12">
        <v>3209.1000000000067</v>
      </c>
      <c r="M8" s="12">
        <v>4305.4200000000137</v>
      </c>
      <c r="N8" s="12">
        <v>2609.5000000000027</v>
      </c>
      <c r="O8" s="12">
        <v>15901.460000000017</v>
      </c>
    </row>
    <row r="9" spans="1:15" x14ac:dyDescent="0.25">
      <c r="A9" s="2" t="s">
        <v>27</v>
      </c>
      <c r="B9" s="12">
        <v>13891.16000000004</v>
      </c>
      <c r="C9" s="13">
        <v>426</v>
      </c>
      <c r="E9" s="2" t="s">
        <v>8</v>
      </c>
      <c r="F9" s="12">
        <v>2479.6799999999944</v>
      </c>
      <c r="G9" s="13">
        <v>119</v>
      </c>
      <c r="I9" s="2" t="s">
        <v>4</v>
      </c>
      <c r="J9" s="12">
        <v>7321.1199999999753</v>
      </c>
      <c r="K9" s="12">
        <v>5130.5799999999963</v>
      </c>
      <c r="L9" s="12">
        <v>3723.7800000000084</v>
      </c>
      <c r="M9" s="12">
        <v>3925.1000000000099</v>
      </c>
      <c r="N9" s="12">
        <v>3045.8200000000065</v>
      </c>
      <c r="O9" s="12">
        <v>23146.400000000198</v>
      </c>
    </row>
    <row r="10" spans="1:15" x14ac:dyDescent="0.25">
      <c r="A10" s="2" t="s">
        <v>28</v>
      </c>
      <c r="B10" s="12">
        <v>8590.5400000000227</v>
      </c>
      <c r="C10" s="13">
        <v>259</v>
      </c>
      <c r="E10" s="2" t="s">
        <v>2</v>
      </c>
      <c r="F10" s="12">
        <v>102259.13999999827</v>
      </c>
      <c r="G10" s="13">
        <v>3228</v>
      </c>
      <c r="I10" s="2" t="s">
        <v>10</v>
      </c>
      <c r="J10" s="12">
        <v>5941.5400000000227</v>
      </c>
      <c r="K10" s="12">
        <v>4181.4600000000119</v>
      </c>
      <c r="L10" s="12">
        <v>5672.1200000000208</v>
      </c>
      <c r="M10" s="12">
        <v>4952.0200000000168</v>
      </c>
      <c r="N10" s="12">
        <v>4089.8400000000111</v>
      </c>
      <c r="O10" s="12">
        <v>24836.979999999592</v>
      </c>
    </row>
    <row r="11" spans="1:15" x14ac:dyDescent="0.25">
      <c r="A11" s="2" t="s">
        <v>29</v>
      </c>
      <c r="B11" s="12">
        <v>8237.740000000018</v>
      </c>
      <c r="C11" s="13">
        <v>259</v>
      </c>
      <c r="I11" s="2" t="s">
        <v>2</v>
      </c>
      <c r="J11" s="12">
        <v>24552.739999999874</v>
      </c>
      <c r="K11" s="12">
        <v>21017.559999999925</v>
      </c>
      <c r="L11" s="12">
        <v>20765.599999999868</v>
      </c>
      <c r="M11" s="12">
        <v>20577.699999999903</v>
      </c>
      <c r="N11" s="12">
        <v>15345.540000000025</v>
      </c>
      <c r="O11" s="12">
        <v>102259.13999999827</v>
      </c>
    </row>
    <row r="12" spans="1:15" x14ac:dyDescent="0.25">
      <c r="A12" s="2" t="s">
        <v>19</v>
      </c>
      <c r="B12" s="12">
        <v>6398.8600000000124</v>
      </c>
      <c r="C12" s="13">
        <v>201</v>
      </c>
      <c r="E12" s="1" t="s">
        <v>1</v>
      </c>
      <c r="F12" t="s">
        <v>0</v>
      </c>
    </row>
    <row r="13" spans="1:15" ht="15.75" thickBot="1" x14ac:dyDescent="0.3">
      <c r="A13" s="2" t="s">
        <v>20</v>
      </c>
      <c r="B13" s="12">
        <v>13215.479999999996</v>
      </c>
      <c r="C13" s="13">
        <v>423</v>
      </c>
      <c r="E13" s="2" t="s">
        <v>13</v>
      </c>
      <c r="F13" s="12">
        <v>15345.540000000025</v>
      </c>
      <c r="I13" s="1" t="s">
        <v>0</v>
      </c>
      <c r="J13" s="1" t="s">
        <v>36</v>
      </c>
    </row>
    <row r="14" spans="1:15" ht="15.75" thickBot="1" x14ac:dyDescent="0.3">
      <c r="A14" s="2" t="s">
        <v>2</v>
      </c>
      <c r="B14" s="12">
        <v>102259.13999999827</v>
      </c>
      <c r="C14" s="13">
        <v>3228</v>
      </c>
      <c r="E14" s="2" t="s">
        <v>12</v>
      </c>
      <c r="F14" s="12">
        <v>20577.699999999903</v>
      </c>
      <c r="I14" s="28" t="s">
        <v>44</v>
      </c>
      <c r="J14" s="29" t="s">
        <v>15</v>
      </c>
      <c r="K14" s="30" t="s">
        <v>14</v>
      </c>
      <c r="L14" s="31" t="s">
        <v>11</v>
      </c>
      <c r="M14" s="32" t="s">
        <v>12</v>
      </c>
      <c r="N14" s="33" t="s">
        <v>13</v>
      </c>
      <c r="O14" s="34" t="s">
        <v>2</v>
      </c>
    </row>
    <row r="15" spans="1:15" x14ac:dyDescent="0.25">
      <c r="E15" s="2" t="s">
        <v>11</v>
      </c>
      <c r="F15" s="12">
        <v>20765.599999999868</v>
      </c>
      <c r="I15" s="15" t="s">
        <v>38</v>
      </c>
      <c r="J15" s="14">
        <v>4318.9400000000078</v>
      </c>
      <c r="K15" s="14">
        <v>2658.3600000000019</v>
      </c>
      <c r="L15" s="14">
        <v>3366.2400000000066</v>
      </c>
      <c r="M15" s="14">
        <v>3345.2000000000057</v>
      </c>
      <c r="N15" s="16">
        <v>1981.4399999999996</v>
      </c>
      <c r="O15" s="25">
        <v>15670.180000000008</v>
      </c>
    </row>
    <row r="16" spans="1:15" x14ac:dyDescent="0.25">
      <c r="A16" s="2" t="s">
        <v>18</v>
      </c>
      <c r="B16" s="12">
        <f>GETPIVOTDATA("[Measures].[Sum of Amount]",$A$1)</f>
        <v>102259.13999999827</v>
      </c>
      <c r="E16" s="2" t="s">
        <v>14</v>
      </c>
      <c r="F16" s="12">
        <v>21017.559999999925</v>
      </c>
      <c r="I16" s="15" t="s">
        <v>42</v>
      </c>
      <c r="J16" s="14">
        <v>4193.5200000000077</v>
      </c>
      <c r="K16" s="14">
        <v>3028.200000000003</v>
      </c>
      <c r="L16" s="14">
        <v>3114.4400000000046</v>
      </c>
      <c r="M16" s="14">
        <v>3838.9800000000096</v>
      </c>
      <c r="N16" s="16">
        <v>2549.1800000000026</v>
      </c>
      <c r="O16" s="26">
        <v>16724.320000000003</v>
      </c>
    </row>
    <row r="17" spans="1:15" x14ac:dyDescent="0.25">
      <c r="A17" s="2" t="s">
        <v>17</v>
      </c>
      <c r="B17" s="13">
        <f>GETPIVOTDATA("[Measures].[Count of Amount]",$A$1)</f>
        <v>3228</v>
      </c>
      <c r="E17" s="2" t="s">
        <v>15</v>
      </c>
      <c r="F17" s="12">
        <v>24552.739999999874</v>
      </c>
      <c r="I17" s="15" t="s">
        <v>43</v>
      </c>
      <c r="J17" s="14">
        <v>3367.6800000000044</v>
      </c>
      <c r="K17" s="14">
        <v>3185.3800000000033</v>
      </c>
      <c r="L17" s="14">
        <v>2381.1600000000012</v>
      </c>
      <c r="M17" s="14">
        <v>2909.2200000000039</v>
      </c>
      <c r="N17" s="16">
        <v>2148.0000000000005</v>
      </c>
      <c r="O17" s="26">
        <v>13991.440000000004</v>
      </c>
    </row>
    <row r="18" spans="1:15" x14ac:dyDescent="0.25">
      <c r="A18" s="2" t="s">
        <v>30</v>
      </c>
      <c r="B18" t="str">
        <f>INDEX(PivotTable!E2:E9, MATCH(MAX(PivotTable!F2:F9),PivotTable!F2:F9,0))</f>
        <v>Latte</v>
      </c>
      <c r="E18" s="2" t="s">
        <v>2</v>
      </c>
      <c r="F18" s="12">
        <v>102259.13999999827</v>
      </c>
      <c r="I18" s="15" t="s">
        <v>41</v>
      </c>
      <c r="J18" s="14">
        <v>3105.100000000004</v>
      </c>
      <c r="K18" s="14">
        <v>2492.7800000000011</v>
      </c>
      <c r="L18" s="14">
        <v>2998.8200000000029</v>
      </c>
      <c r="M18" s="14">
        <v>3389.300000000007</v>
      </c>
      <c r="N18" s="16">
        <v>2772.060000000004</v>
      </c>
      <c r="O18" s="26">
        <v>14758.060000000007</v>
      </c>
    </row>
    <row r="19" spans="1:15" x14ac:dyDescent="0.25">
      <c r="A19" s="2" t="s">
        <v>31</v>
      </c>
      <c r="B19" t="str">
        <f>INDEX(PivotTable!E2:E9, MATCH(MAX(PivotTable!G2:G9),PivotTable!G2:G9,0))</f>
        <v>Americano with Milk</v>
      </c>
      <c r="I19" s="15" t="s">
        <v>37</v>
      </c>
      <c r="J19" s="14">
        <v>4285.6000000000085</v>
      </c>
      <c r="K19" s="14">
        <v>2926.8200000000038</v>
      </c>
      <c r="L19" s="14">
        <v>2652.0200000000023</v>
      </c>
      <c r="M19" s="14">
        <v>2877.3800000000033</v>
      </c>
      <c r="N19" s="16">
        <v>2165.1400000000003</v>
      </c>
      <c r="O19" s="26">
        <v>14906.959999999997</v>
      </c>
    </row>
    <row r="20" spans="1:15" x14ac:dyDescent="0.25">
      <c r="I20" s="15" t="s">
        <v>39</v>
      </c>
      <c r="J20" s="14">
        <v>2716.6000000000022</v>
      </c>
      <c r="K20" s="14">
        <v>3705.6600000000071</v>
      </c>
      <c r="L20" s="14">
        <v>3611.1800000000071</v>
      </c>
      <c r="M20" s="14">
        <v>1900.6199999999994</v>
      </c>
      <c r="N20" s="16">
        <v>1734.06</v>
      </c>
      <c r="O20" s="26">
        <v>13668.119999999995</v>
      </c>
    </row>
    <row r="21" spans="1:15" ht="15.75" thickBot="1" x14ac:dyDescent="0.3">
      <c r="I21" s="17" t="s">
        <v>40</v>
      </c>
      <c r="J21" s="18">
        <v>2565.300000000002</v>
      </c>
      <c r="K21" s="18">
        <v>3020.3600000000047</v>
      </c>
      <c r="L21" s="18">
        <v>2641.740000000003</v>
      </c>
      <c r="M21" s="18">
        <v>2317.0000000000005</v>
      </c>
      <c r="N21" s="19">
        <v>1995.6599999999999</v>
      </c>
      <c r="O21" s="27">
        <v>12540.060000000019</v>
      </c>
    </row>
    <row r="22" spans="1:15" x14ac:dyDescent="0.25">
      <c r="I22" s="2" t="s">
        <v>2</v>
      </c>
      <c r="J22" s="12">
        <v>24552.739999999874</v>
      </c>
      <c r="K22" s="12">
        <v>21017.559999999925</v>
      </c>
      <c r="L22" s="12">
        <v>20765.599999999868</v>
      </c>
      <c r="M22" s="12">
        <v>20577.699999999903</v>
      </c>
      <c r="N22" s="12">
        <v>15345.540000000025</v>
      </c>
      <c r="O22" s="12">
        <v>102259.13999999827</v>
      </c>
    </row>
  </sheetData>
  <conditionalFormatting pivot="1" sqref="J15:N21">
    <cfRule type="colorScale" priority="1">
      <colorScale>
        <cfvo type="min"/>
        <cfvo type="max"/>
        <color theme="0"/>
        <color rgb="FF00B050"/>
      </colorScale>
    </cfRule>
  </conditionalFormatting>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1197F-30A7-433E-BDDC-9CB60EE76000}">
  <dimension ref="A1:N33"/>
  <sheetViews>
    <sheetView tabSelected="1" zoomScaleNormal="100" workbookViewId="0">
      <selection activeCell="P5" sqref="P5"/>
    </sheetView>
  </sheetViews>
  <sheetFormatPr defaultRowHeight="15" x14ac:dyDescent="0.25"/>
  <cols>
    <col min="2" max="2" width="9.5703125" bestFit="1" customWidth="1"/>
    <col min="8" max="8" width="9.140625" customWidth="1"/>
  </cols>
  <sheetData>
    <row r="1" spans="1:14" ht="15" customHeight="1" x14ac:dyDescent="0.25">
      <c r="A1" s="6"/>
      <c r="B1" s="20"/>
      <c r="C1" s="20"/>
      <c r="D1" s="20"/>
      <c r="E1" s="20"/>
      <c r="F1" s="20"/>
      <c r="G1" s="20"/>
      <c r="H1" s="20"/>
      <c r="I1" s="20"/>
      <c r="J1" s="20"/>
      <c r="K1" s="20"/>
      <c r="L1" s="20"/>
      <c r="M1" s="20"/>
      <c r="N1" s="5"/>
    </row>
    <row r="2" spans="1:14" ht="15" customHeight="1" x14ac:dyDescent="0.25">
      <c r="A2" s="7"/>
      <c r="B2" s="20"/>
      <c r="C2" s="20"/>
      <c r="D2" s="20"/>
      <c r="E2" s="20"/>
      <c r="F2" s="20"/>
      <c r="G2" s="20"/>
      <c r="H2" s="20"/>
      <c r="I2" s="20"/>
      <c r="J2" s="20"/>
      <c r="K2" s="20"/>
      <c r="L2" s="20"/>
      <c r="M2" s="20"/>
      <c r="N2" s="5"/>
    </row>
    <row r="3" spans="1:14" x14ac:dyDescent="0.25">
      <c r="A3" s="8"/>
      <c r="B3" s="9"/>
      <c r="C3" s="3"/>
      <c r="D3" s="3"/>
      <c r="E3" s="3"/>
      <c r="F3" s="3"/>
      <c r="G3" s="3"/>
      <c r="H3" s="3"/>
      <c r="I3" s="3"/>
      <c r="J3" s="3"/>
      <c r="K3" s="3"/>
      <c r="L3" s="3"/>
      <c r="M3" s="10"/>
      <c r="N3" s="3"/>
    </row>
    <row r="4" spans="1:14" x14ac:dyDescent="0.25">
      <c r="A4" s="8"/>
      <c r="B4" s="23"/>
      <c r="C4" s="23"/>
      <c r="D4" s="3"/>
      <c r="E4" s="24"/>
      <c r="F4" s="24"/>
      <c r="G4" s="3"/>
      <c r="H4" s="3"/>
      <c r="I4" s="22"/>
      <c r="J4" s="22"/>
      <c r="K4" s="3"/>
      <c r="L4" s="22"/>
      <c r="M4" s="22"/>
      <c r="N4" s="3"/>
    </row>
    <row r="5" spans="1:14" x14ac:dyDescent="0.25">
      <c r="A5" s="11"/>
      <c r="B5" s="21"/>
      <c r="C5" s="21"/>
      <c r="D5" s="3"/>
      <c r="E5" s="21"/>
      <c r="F5" s="21"/>
      <c r="G5" s="3"/>
      <c r="H5" s="3"/>
      <c r="I5" s="21"/>
      <c r="J5" s="21"/>
      <c r="K5" s="3"/>
      <c r="L5" s="21"/>
      <c r="M5" s="21"/>
      <c r="N5" s="3"/>
    </row>
    <row r="6" spans="1:14" x14ac:dyDescent="0.25">
      <c r="A6" s="4"/>
      <c r="B6" s="4"/>
      <c r="C6" s="4"/>
      <c r="D6" s="4"/>
      <c r="E6" s="4"/>
      <c r="F6" s="4"/>
      <c r="G6" s="4"/>
      <c r="H6" s="4"/>
      <c r="I6" s="4"/>
      <c r="J6" s="4"/>
      <c r="K6" s="4"/>
      <c r="L6" s="4"/>
      <c r="M6" s="4"/>
      <c r="N6" s="4"/>
    </row>
    <row r="7" spans="1:14" x14ac:dyDescent="0.25">
      <c r="A7" s="4"/>
      <c r="B7" s="4"/>
      <c r="C7" s="4"/>
      <c r="D7" s="4"/>
      <c r="E7" s="4"/>
      <c r="F7" s="4"/>
      <c r="G7" s="4"/>
      <c r="H7" s="4"/>
      <c r="I7" s="4"/>
      <c r="J7" s="4"/>
      <c r="K7" s="4"/>
      <c r="L7" s="4"/>
      <c r="M7" s="4"/>
      <c r="N7" s="4"/>
    </row>
    <row r="8" spans="1:14" x14ac:dyDescent="0.25">
      <c r="A8" s="4"/>
      <c r="B8" s="4"/>
      <c r="C8" s="4"/>
      <c r="D8" s="4"/>
      <c r="E8" s="4"/>
      <c r="F8" s="4"/>
      <c r="G8" s="4"/>
      <c r="H8" s="4"/>
      <c r="I8" s="4"/>
      <c r="J8" s="4"/>
      <c r="K8" s="4"/>
      <c r="L8" s="4"/>
      <c r="M8" s="4"/>
      <c r="N8" s="4"/>
    </row>
    <row r="9" spans="1:14" x14ac:dyDescent="0.25">
      <c r="A9" s="4"/>
      <c r="B9" s="4"/>
      <c r="C9" s="4"/>
      <c r="D9" s="4"/>
      <c r="E9" s="4"/>
      <c r="F9" s="4"/>
      <c r="G9" s="4"/>
      <c r="H9" s="4"/>
      <c r="I9" s="4"/>
      <c r="J9" s="4"/>
      <c r="K9" s="4"/>
      <c r="L9" s="4"/>
      <c r="M9" s="4"/>
      <c r="N9" s="4"/>
    </row>
    <row r="10" spans="1:14" x14ac:dyDescent="0.25">
      <c r="A10" s="4"/>
      <c r="B10" s="4"/>
      <c r="C10" s="4"/>
      <c r="D10" s="4"/>
      <c r="E10" s="4"/>
      <c r="F10" s="4"/>
      <c r="G10" s="4"/>
      <c r="H10" s="4"/>
      <c r="I10" s="4"/>
      <c r="J10" s="4"/>
      <c r="K10" s="4"/>
      <c r="L10" s="4"/>
      <c r="M10" s="4"/>
      <c r="N10" s="4"/>
    </row>
    <row r="11" spans="1:14" x14ac:dyDescent="0.25">
      <c r="A11" s="4"/>
      <c r="B11" s="4"/>
      <c r="C11" s="4"/>
      <c r="D11" s="4"/>
      <c r="E11" s="4"/>
      <c r="F11" s="4"/>
      <c r="G11" s="4"/>
      <c r="H11" s="4"/>
      <c r="I11" s="4"/>
      <c r="J11" s="4"/>
      <c r="K11" s="4"/>
      <c r="L11" s="4"/>
      <c r="M11" s="4"/>
      <c r="N11" s="4"/>
    </row>
    <row r="12" spans="1:14" x14ac:dyDescent="0.25">
      <c r="A12" s="4"/>
      <c r="B12" s="4"/>
      <c r="C12" s="4"/>
      <c r="D12" s="4"/>
      <c r="E12" s="4"/>
      <c r="F12" s="4"/>
      <c r="G12" s="4"/>
      <c r="H12" s="4"/>
      <c r="I12" s="4"/>
      <c r="J12" s="4"/>
      <c r="K12" s="4"/>
      <c r="L12" s="4"/>
      <c r="M12" s="4"/>
      <c r="N12" s="4"/>
    </row>
    <row r="13" spans="1:14" x14ac:dyDescent="0.25">
      <c r="A13" s="4"/>
      <c r="B13" s="4"/>
      <c r="C13" s="4"/>
      <c r="D13" s="4"/>
      <c r="E13" s="4"/>
      <c r="F13" s="4"/>
      <c r="G13" s="4"/>
      <c r="H13" s="4"/>
      <c r="I13" s="4"/>
      <c r="J13" s="4"/>
      <c r="K13" s="4"/>
      <c r="L13" s="4"/>
      <c r="M13" s="4"/>
      <c r="N13" s="4"/>
    </row>
    <row r="14" spans="1:14" x14ac:dyDescent="0.25">
      <c r="A14" s="4"/>
      <c r="B14" s="4"/>
      <c r="C14" s="4"/>
      <c r="D14" s="4"/>
      <c r="E14" s="4"/>
      <c r="F14" s="4"/>
      <c r="G14" s="4"/>
      <c r="H14" s="4"/>
      <c r="I14" s="4"/>
      <c r="J14" s="4"/>
      <c r="K14" s="4"/>
      <c r="L14" s="4"/>
      <c r="M14" s="4"/>
      <c r="N14" s="4"/>
    </row>
    <row r="15" spans="1:14" x14ac:dyDescent="0.25">
      <c r="A15" s="4"/>
      <c r="B15" s="4"/>
      <c r="C15" s="4"/>
      <c r="D15" s="4"/>
      <c r="E15" s="4"/>
      <c r="F15" s="4"/>
      <c r="G15" s="4"/>
      <c r="H15" s="4"/>
      <c r="I15" s="4"/>
      <c r="J15" s="4"/>
      <c r="K15" s="4"/>
      <c r="L15" s="4"/>
      <c r="M15" s="4"/>
      <c r="N15" s="4"/>
    </row>
    <row r="16" spans="1:14" x14ac:dyDescent="0.25">
      <c r="A16" s="4"/>
      <c r="B16" s="4"/>
      <c r="C16" s="4"/>
      <c r="D16" s="4"/>
      <c r="E16" s="4"/>
      <c r="F16" s="4"/>
      <c r="G16" s="4"/>
      <c r="H16" s="4"/>
      <c r="I16" s="4"/>
      <c r="J16" s="4"/>
      <c r="K16" s="4"/>
      <c r="L16" s="4"/>
      <c r="M16" s="4"/>
      <c r="N16" s="4"/>
    </row>
    <row r="17" spans="1:14" x14ac:dyDescent="0.25">
      <c r="A17" s="4"/>
      <c r="B17" s="4"/>
      <c r="C17" s="4"/>
      <c r="D17" s="4"/>
      <c r="E17" s="4"/>
      <c r="F17" s="4"/>
      <c r="G17" s="4"/>
      <c r="H17" s="4"/>
      <c r="I17" s="4"/>
      <c r="J17" s="4"/>
      <c r="K17" s="4"/>
      <c r="L17" s="4"/>
      <c r="M17" s="4"/>
      <c r="N17" s="4"/>
    </row>
    <row r="18" spans="1:14" x14ac:dyDescent="0.25">
      <c r="A18" s="4"/>
      <c r="B18" s="4"/>
      <c r="C18" s="4"/>
      <c r="D18" s="4"/>
      <c r="E18" s="4"/>
      <c r="F18" s="4"/>
      <c r="G18" s="4"/>
      <c r="H18" s="4"/>
      <c r="I18" s="4"/>
      <c r="J18" s="4"/>
      <c r="K18" s="4"/>
      <c r="L18" s="4"/>
      <c r="M18" s="4"/>
      <c r="N18" s="4"/>
    </row>
    <row r="19" spans="1:14" x14ac:dyDescent="0.25">
      <c r="A19" s="4"/>
      <c r="B19" s="4"/>
      <c r="C19" s="4"/>
      <c r="D19" s="4"/>
      <c r="E19" s="4"/>
      <c r="F19" s="4"/>
      <c r="G19" s="4"/>
      <c r="H19" s="4"/>
      <c r="I19" s="4"/>
      <c r="J19" s="4"/>
      <c r="K19" s="4"/>
      <c r="L19" s="4"/>
      <c r="M19" s="4"/>
      <c r="N19" s="4"/>
    </row>
    <row r="20" spans="1:14" x14ac:dyDescent="0.25">
      <c r="A20" s="4"/>
      <c r="B20" s="4"/>
      <c r="C20" s="4"/>
      <c r="D20" s="4"/>
      <c r="E20" s="4"/>
      <c r="F20" s="4"/>
      <c r="G20" s="4"/>
      <c r="H20" s="4"/>
      <c r="I20" s="4"/>
      <c r="J20" s="4"/>
      <c r="K20" s="4"/>
      <c r="L20" s="4"/>
      <c r="M20" s="4"/>
      <c r="N20" s="4"/>
    </row>
    <row r="21" spans="1:14" x14ac:dyDescent="0.25">
      <c r="A21" s="4"/>
      <c r="B21" s="4"/>
      <c r="C21" s="4"/>
      <c r="D21" s="4"/>
      <c r="E21" s="4"/>
      <c r="F21" s="4"/>
      <c r="G21" s="4"/>
      <c r="H21" s="4"/>
      <c r="I21" s="4"/>
      <c r="J21" s="4"/>
      <c r="K21" s="4"/>
      <c r="L21" s="4"/>
      <c r="M21" s="4"/>
      <c r="N21" s="4"/>
    </row>
    <row r="22" spans="1:14" x14ac:dyDescent="0.25">
      <c r="A22" s="4"/>
      <c r="B22" s="4"/>
      <c r="C22" s="4"/>
      <c r="D22" s="4"/>
      <c r="E22" s="4"/>
      <c r="F22" s="4"/>
      <c r="G22" s="4"/>
      <c r="H22" s="4"/>
      <c r="I22" s="4"/>
      <c r="J22" s="4"/>
      <c r="K22" s="4"/>
      <c r="L22" s="4"/>
      <c r="M22" s="4"/>
      <c r="N22" s="4"/>
    </row>
    <row r="23" spans="1:14" x14ac:dyDescent="0.25">
      <c r="A23" s="4"/>
      <c r="B23" s="4"/>
      <c r="C23" s="4"/>
      <c r="D23" s="4"/>
      <c r="E23" s="4"/>
      <c r="F23" s="4"/>
      <c r="G23" s="4"/>
      <c r="H23" s="4"/>
      <c r="I23" s="4"/>
      <c r="J23" s="4"/>
      <c r="K23" s="4"/>
      <c r="L23" s="4"/>
      <c r="M23" s="4"/>
      <c r="N23" s="4"/>
    </row>
    <row r="24" spans="1:14" x14ac:dyDescent="0.25">
      <c r="A24" s="4"/>
      <c r="B24" s="4"/>
      <c r="C24" s="4"/>
      <c r="D24" s="4"/>
      <c r="E24" s="4"/>
      <c r="F24" s="4"/>
      <c r="G24" s="4"/>
      <c r="H24" s="4"/>
      <c r="I24" s="4"/>
      <c r="J24" s="4"/>
      <c r="K24" s="4"/>
      <c r="L24" s="4"/>
      <c r="M24" s="4"/>
      <c r="N24" s="4"/>
    </row>
    <row r="25" spans="1:14" x14ac:dyDescent="0.25">
      <c r="A25" s="4"/>
      <c r="B25" s="4"/>
      <c r="C25" s="4"/>
      <c r="D25" s="4"/>
      <c r="E25" s="4"/>
      <c r="F25" s="4"/>
      <c r="G25" s="4"/>
      <c r="H25" s="4"/>
      <c r="I25" s="4"/>
      <c r="J25" s="4"/>
      <c r="K25" s="4"/>
      <c r="L25" s="4"/>
      <c r="M25" s="4"/>
      <c r="N25" s="4"/>
    </row>
    <row r="26" spans="1:14" x14ac:dyDescent="0.25">
      <c r="A26" s="4"/>
      <c r="B26" s="4"/>
      <c r="C26" s="4"/>
      <c r="D26" s="4"/>
      <c r="E26" s="4"/>
      <c r="F26" s="4"/>
      <c r="G26" s="4"/>
      <c r="H26" s="4"/>
      <c r="I26" s="4"/>
      <c r="J26" s="4"/>
      <c r="K26" s="4"/>
      <c r="L26" s="4"/>
      <c r="M26" s="4"/>
      <c r="N26" s="4"/>
    </row>
    <row r="27" spans="1:14" x14ac:dyDescent="0.25">
      <c r="A27" s="4"/>
      <c r="B27" s="4"/>
      <c r="C27" s="4"/>
      <c r="D27" s="4"/>
      <c r="E27" s="4"/>
      <c r="F27" s="4"/>
      <c r="G27" s="4"/>
      <c r="H27" s="4"/>
      <c r="I27" s="4"/>
      <c r="J27" s="4"/>
      <c r="K27" s="4"/>
      <c r="L27" s="4"/>
      <c r="M27" s="4"/>
      <c r="N27" s="4"/>
    </row>
    <row r="28" spans="1:14" x14ac:dyDescent="0.25">
      <c r="A28" s="4"/>
      <c r="B28" s="4"/>
      <c r="C28" s="4"/>
      <c r="D28" s="4"/>
      <c r="E28" s="4"/>
      <c r="F28" s="4"/>
      <c r="G28" s="4"/>
      <c r="H28" s="4"/>
      <c r="I28" s="4"/>
      <c r="J28" s="4"/>
      <c r="K28" s="4"/>
      <c r="L28" s="4"/>
      <c r="M28" s="4"/>
      <c r="N28" s="4"/>
    </row>
    <row r="29" spans="1:14" x14ac:dyDescent="0.25">
      <c r="A29" s="4"/>
      <c r="B29" s="4"/>
      <c r="C29" s="4"/>
      <c r="D29" s="4"/>
      <c r="E29" s="4"/>
      <c r="F29" s="4"/>
      <c r="G29" s="4"/>
      <c r="H29" s="4"/>
      <c r="I29" s="4"/>
      <c r="J29" s="4"/>
      <c r="K29" s="4"/>
      <c r="L29" s="4"/>
      <c r="M29" s="4"/>
      <c r="N29" s="4"/>
    </row>
    <row r="30" spans="1:14" x14ac:dyDescent="0.25">
      <c r="A30" s="4"/>
      <c r="B30" s="4"/>
      <c r="C30" s="4"/>
      <c r="D30" s="4"/>
      <c r="E30" s="4"/>
      <c r="F30" s="4"/>
      <c r="G30" s="4"/>
      <c r="H30" s="4"/>
      <c r="I30" s="4"/>
      <c r="J30" s="4"/>
      <c r="K30" s="4"/>
      <c r="L30" s="4"/>
      <c r="M30" s="4"/>
      <c r="N30" s="4"/>
    </row>
    <row r="31" spans="1:14" x14ac:dyDescent="0.25">
      <c r="A31" s="4"/>
      <c r="B31" s="4"/>
      <c r="C31" s="4"/>
      <c r="D31" s="4"/>
      <c r="E31" s="4"/>
      <c r="F31" s="4"/>
      <c r="G31" s="4"/>
      <c r="H31" s="4"/>
      <c r="I31" s="4"/>
      <c r="J31" s="4"/>
      <c r="K31" s="4"/>
      <c r="L31" s="4"/>
      <c r="M31" s="4"/>
      <c r="N31" s="4"/>
    </row>
    <row r="32" spans="1:14" x14ac:dyDescent="0.25">
      <c r="A32" s="4"/>
      <c r="B32" s="4"/>
      <c r="C32" s="4"/>
      <c r="D32" s="4"/>
      <c r="E32" s="4"/>
      <c r="F32" s="4"/>
      <c r="G32" s="4"/>
      <c r="H32" s="4"/>
      <c r="I32" s="4"/>
      <c r="J32" s="4"/>
      <c r="K32" s="4"/>
      <c r="L32" s="4"/>
      <c r="M32" s="4"/>
      <c r="N32" s="4"/>
    </row>
    <row r="33" spans="1:14" x14ac:dyDescent="0.25">
      <c r="A33" s="4"/>
      <c r="B33" s="4"/>
      <c r="C33" s="4"/>
      <c r="D33" s="4"/>
      <c r="E33" s="4"/>
      <c r="F33" s="4"/>
      <c r="G33" s="4"/>
      <c r="H33" s="4"/>
      <c r="I33" s="4"/>
      <c r="J33" s="4"/>
      <c r="K33" s="4"/>
      <c r="L33" s="4"/>
      <c r="M33" s="4"/>
      <c r="N33" s="4"/>
    </row>
  </sheetData>
  <mergeCells count="9">
    <mergeCell ref="B1:M2"/>
    <mergeCell ref="L5:M5"/>
    <mergeCell ref="L4:M4"/>
    <mergeCell ref="B5:C5"/>
    <mergeCell ref="B4:C4"/>
    <mergeCell ref="E5:F5"/>
    <mergeCell ref="E4:F4"/>
    <mergeCell ref="I5:J5"/>
    <mergeCell ref="I4:J4"/>
  </mergeCells>
  <pageMargins left="0.7" right="0.7" top="0.75" bottom="0.75" header="0.3" footer="0.3"/>
  <pageSetup paperSize="9" orientation="landscape"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EE186C4-9672-42F5-BEC3-0B436CFF07F3}">
  <ds:schemaRefs/>
</ds:datastoreItem>
</file>

<file path=customXml/itemProps2.xml><?xml version="1.0" encoding="utf-8"?>
<ds:datastoreItem xmlns:ds="http://schemas.openxmlformats.org/officeDocument/2006/customXml" ds:itemID="{084A7220-1D0B-46AD-86B1-CE752DD69F4F}">
  <ds:schemaRefs/>
</ds:datastoreItem>
</file>

<file path=customXml/itemProps3.xml><?xml version="1.0" encoding="utf-8"?>
<ds:datastoreItem xmlns:ds="http://schemas.openxmlformats.org/officeDocument/2006/customXml" ds:itemID="{750D9BB3-AF23-486D-8FFD-00924C104682}">
  <ds:schemaRefs/>
</ds:datastoreItem>
</file>

<file path=customXml/itemProps4.xml><?xml version="1.0" encoding="utf-8"?>
<ds:datastoreItem xmlns:ds="http://schemas.openxmlformats.org/officeDocument/2006/customXml" ds:itemID="{3363C6C3-E365-4633-9A13-F12726F3106C}">
  <ds:schemaRefs/>
</ds:datastoreItem>
</file>

<file path=customXml/itemProps5.xml><?xml version="1.0" encoding="utf-8"?>
<ds:datastoreItem xmlns:ds="http://schemas.openxmlformats.org/officeDocument/2006/customXml" ds:itemID="{5E4571DD-A934-409A-980D-B05C2C97091F}">
  <ds:schemaRefs/>
</ds:datastoreItem>
</file>

<file path=customXml/itemProps6.xml><?xml version="1.0" encoding="utf-8"?>
<ds:datastoreItem xmlns:ds="http://schemas.openxmlformats.org/officeDocument/2006/customXml" ds:itemID="{22836092-7A02-4E79-A07E-9C56334CB77C}">
  <ds:schemaRefs/>
</ds:datastoreItem>
</file>

<file path=customXml/itemProps7.xml><?xml version="1.0" encoding="utf-8"?>
<ds:datastoreItem xmlns:ds="http://schemas.openxmlformats.org/officeDocument/2006/customXml" ds:itemID="{2C007306-B7D5-4237-90D8-A4AB685E666B}">
  <ds:schemaRefs/>
</ds:datastoreItem>
</file>

<file path=customXml/itemProps8.xml><?xml version="1.0" encoding="utf-8"?>
<ds:datastoreItem xmlns:ds="http://schemas.openxmlformats.org/officeDocument/2006/customXml" ds:itemID="{4AEF32D5-79A6-4709-9429-2016E7E158C1}">
  <ds:schemaRefs>
    <ds:schemaRef ds:uri="http://schemas.microsoft.com/DataMashup"/>
  </ds:schemaRefs>
</ds:datastoreItem>
</file>

<file path=customXml/itemProps9.xml><?xml version="1.0" encoding="utf-8"?>
<ds:datastoreItem xmlns:ds="http://schemas.openxmlformats.org/officeDocument/2006/customXml" ds:itemID="{BF9B60AC-8D9F-4FEF-AE2B-291E677CE845}">
  <ds:schemaRefs/>
</ds:datastoreItem>
</file>

<file path=customXml/itemProps10.xml><?xml version="1.0" encoding="utf-8"?>
<ds:datastoreItem xmlns:ds="http://schemas.openxmlformats.org/officeDocument/2006/customXml" ds:itemID="{0A480E54-8324-4B12-B873-DE87744BB031}">
  <ds:schemaRefs/>
</ds:datastoreItem>
</file>

<file path=customXml/itemProps11.xml><?xml version="1.0" encoding="utf-8"?>
<ds:datastoreItem xmlns:ds="http://schemas.openxmlformats.org/officeDocument/2006/customXml" ds:itemID="{C19EBD80-C59A-4F41-8E56-D2BD13FD7A8F}">
  <ds:schemaRefs/>
</ds:datastoreItem>
</file>

<file path=customXml/itemProps12.xml><?xml version="1.0" encoding="utf-8"?>
<ds:datastoreItem xmlns:ds="http://schemas.openxmlformats.org/officeDocument/2006/customXml" ds:itemID="{62B27E54-9567-4335-ABD3-3625287F6A43}">
  <ds:schemaRefs/>
</ds:datastoreItem>
</file>

<file path=customXml/itemProps13.xml><?xml version="1.0" encoding="utf-8"?>
<ds:datastoreItem xmlns:ds="http://schemas.openxmlformats.org/officeDocument/2006/customXml" ds:itemID="{749A63FE-38E0-4E2C-AFB5-88BA128E02A6}">
  <ds:schemaRefs/>
</ds:datastoreItem>
</file>

<file path=customXml/itemProps14.xml><?xml version="1.0" encoding="utf-8"?>
<ds:datastoreItem xmlns:ds="http://schemas.openxmlformats.org/officeDocument/2006/customXml" ds:itemID="{74B085DF-DD33-4600-907B-128046DA261B}">
  <ds:schemaRefs/>
</ds:datastoreItem>
</file>

<file path=customXml/itemProps15.xml><?xml version="1.0" encoding="utf-8"?>
<ds:datastoreItem xmlns:ds="http://schemas.openxmlformats.org/officeDocument/2006/customXml" ds:itemID="{09CE1980-11FA-4F6F-9790-74FD71B8D6AF}">
  <ds:schemaRefs/>
</ds:datastoreItem>
</file>

<file path=customXml/itemProps16.xml><?xml version="1.0" encoding="utf-8"?>
<ds:datastoreItem xmlns:ds="http://schemas.openxmlformats.org/officeDocument/2006/customXml" ds:itemID="{9E068DAD-4605-41D3-A18D-2A02018A4FFB}">
  <ds:schemaRefs/>
</ds:datastoreItem>
</file>

<file path=customXml/itemProps17.xml><?xml version="1.0" encoding="utf-8"?>
<ds:datastoreItem xmlns:ds="http://schemas.openxmlformats.org/officeDocument/2006/customXml" ds:itemID="{B0E26A0D-5B84-4328-A96F-138E2508B6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c:creator>
  <cp:lastModifiedBy>WIN</cp:lastModifiedBy>
  <cp:lastPrinted>2026-04-21T14:22:10Z</cp:lastPrinted>
  <dcterms:created xsi:type="dcterms:W3CDTF">2026-04-20T22:57:41Z</dcterms:created>
  <dcterms:modified xsi:type="dcterms:W3CDTF">2026-04-21T14:23:22Z</dcterms:modified>
</cp:coreProperties>
</file>